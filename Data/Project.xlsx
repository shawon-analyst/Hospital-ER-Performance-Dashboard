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This pc\Desktop\All Project Data analyst\Excel_Dashboard_project\New Project\"/>
    </mc:Choice>
  </mc:AlternateContent>
  <xr:revisionPtr revIDLastSave="0" documentId="13_ncr:1_{BC822A52-4086-40C6-9907-A0B21DEFC957}" xr6:coauthVersionLast="47" xr6:coauthVersionMax="47" xr10:uidLastSave="{00000000-0000-0000-0000-000000000000}"/>
  <bookViews>
    <workbookView xWindow="-108" yWindow="-108" windowWidth="23256" windowHeight="12576" xr2:uid="{B1EB4DF2-118A-4A80-92AB-50B73D9C0DA7}"/>
  </bookViews>
  <sheets>
    <sheet name="Dashboard" sheetId="1" r:id="rId1"/>
    <sheet name="Pivot table analysis" sheetId="2" r:id="rId2"/>
    <sheet name="Pivot Table anaylsis" sheetId="3" r:id="rId3"/>
  </sheets>
  <definedNames>
    <definedName name="Slicer_Date__Month">#N/A</definedName>
    <definedName name="Slicer_Date__Year">#N/A</definedName>
  </definedNames>
  <calcPr calcId="191029"/>
  <pivotCaches>
    <pivotCache cacheId="244" r:id="rId4"/>
    <pivotCache cacheId="247" r:id="rId5"/>
    <pivotCache cacheId="250" r:id="rId6"/>
    <pivotCache cacheId="253" r:id="rId7"/>
    <pivotCache cacheId="256" r:id="rId8"/>
    <pivotCache cacheId="259" r:id="rId9"/>
    <pivotCache cacheId="262" r:id="rId10"/>
    <pivotCache cacheId="265" r:id="rId11"/>
    <pivotCache cacheId="268" r:id="rId12"/>
    <pivotCache cacheId="271"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_data_cfe7d179-0a75-4d3d-b403-f0e7532fe3c8" name="Clean_data" connection="Query - Clean_data"/>
          <x15:modelTable id="Calendar_table_8901bdac-52fb-4418-909b-d529325c8755" name="Calendar_table" connection="Query - Calendar_table"/>
        </x15:modelTables>
        <x15:modelRelationships>
          <x15:modelRelationship fromTable="Clean_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3" l="1"/>
  <c r="M16" i="3" a="1"/>
  <c r="M16" i="3" s="1"/>
  <c r="N16" i="3" s="1"/>
  <c r="L16" i="3" a="1"/>
  <c r="L16" i="3" s="1"/>
  <c r="O55" i="2"/>
  <c r="O56" i="2"/>
  <c r="O57" i="2"/>
  <c r="O58" i="2"/>
  <c r="O59" i="2"/>
  <c r="O60" i="2"/>
  <c r="O54" i="2"/>
  <c r="L63" i="2" a="1"/>
  <c r="N65" i="2" s="1"/>
  <c r="N60" i="2"/>
  <c r="N59" i="2"/>
  <c r="N58" i="2"/>
  <c r="N57" i="2"/>
  <c r="N56" i="2"/>
  <c r="N55" i="2"/>
  <c r="N54" i="2"/>
  <c r="N17" i="3" l="1"/>
  <c r="O17" i="3" s="1"/>
  <c r="O16" i="3"/>
  <c r="N67" i="2"/>
  <c r="N68" i="2"/>
  <c r="N69" i="2"/>
  <c r="L63" i="2"/>
  <c r="N63" i="2"/>
  <c r="N66" i="2"/>
  <c r="N6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58BC7B-FAC7-4505-8DA4-D18D6FCF0185}" name="Query - Calendar_table" description="Connection to the 'Calendar_table' query in the workbook." type="100" refreshedVersion="8" minRefreshableVersion="5">
    <extLst>
      <ext xmlns:x15="http://schemas.microsoft.com/office/spreadsheetml/2010/11/main" uri="{DE250136-89BD-433C-8126-D09CA5730AF9}">
        <x15:connection id="572cde8d-c5c0-4e87-ae70-0f0d879416c9"/>
      </ext>
    </extLst>
  </connection>
  <connection id="2" xr16:uid="{54EA174E-7808-4373-92B2-7961685E568D}" name="Query - Clean_data" description="Connection to the 'Clean_data' query in the workbook." type="100" refreshedVersion="8" minRefreshableVersion="5">
    <extLst>
      <ext xmlns:x15="http://schemas.microsoft.com/office/spreadsheetml/2010/11/main" uri="{DE250136-89BD-433C-8126-D09CA5730AF9}">
        <x15:connection id="74628674-c1d2-4875-aad9-40cd07651d86"/>
      </ext>
    </extLst>
  </connection>
  <connection id="3" xr16:uid="{39078E77-6808-4998-8CCA-5E76B63FCD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<sst xmlns="http://schemas.openxmlformats.org/spreadsheetml/2006/main" count="68" uniqueCount="50">
  <si>
    <t>KPI</t>
  </si>
  <si>
    <t>Total Patient</t>
  </si>
  <si>
    <t>Avg Patient Waittime</t>
  </si>
  <si>
    <t>Avg Patient Satisfaction Score</t>
  </si>
  <si>
    <t>Date (Month)</t>
  </si>
  <si>
    <t>Average of Patient Age</t>
  </si>
  <si>
    <t>Count of Patient Id</t>
  </si>
  <si>
    <t>Date</t>
  </si>
  <si>
    <t>total Patient Month wise</t>
  </si>
  <si>
    <t>Average of Patient Waittime</t>
  </si>
  <si>
    <t>Patient Gender</t>
  </si>
  <si>
    <t>Female</t>
  </si>
  <si>
    <t>Male</t>
  </si>
  <si>
    <t>Gender Wise Patient</t>
  </si>
  <si>
    <t>Patient Attend Status</t>
  </si>
  <si>
    <t>Delay</t>
  </si>
  <si>
    <t>Within Time</t>
  </si>
  <si>
    <t>Month wise Average patient Waittime</t>
  </si>
  <si>
    <t>Attend Time  Wise Patient</t>
  </si>
  <si>
    <t>Age Group</t>
  </si>
  <si>
    <t>0-4</t>
  </si>
  <si>
    <t>05-14</t>
  </si>
  <si>
    <t>15-29</t>
  </si>
  <si>
    <t>30-44</t>
  </si>
  <si>
    <t>45-59</t>
  </si>
  <si>
    <t>60-69</t>
  </si>
  <si>
    <t>70-79</t>
  </si>
  <si>
    <t>Highest value</t>
  </si>
  <si>
    <t>Age Group  Wise Patient</t>
  </si>
  <si>
    <t>Lowest Value</t>
  </si>
  <si>
    <t>Patient Admission Flag</t>
  </si>
  <si>
    <t>Admitted</t>
  </si>
  <si>
    <t>Not Admitted</t>
  </si>
  <si>
    <t>Admission Status</t>
  </si>
  <si>
    <t>Patient</t>
  </si>
  <si>
    <t>Percentage</t>
  </si>
  <si>
    <t>Jul</t>
  </si>
  <si>
    <t>Department Referral</t>
  </si>
  <si>
    <t>Cardiology</t>
  </si>
  <si>
    <t>Gastroenterology</t>
  </si>
  <si>
    <t>General Practice</t>
  </si>
  <si>
    <t>Neurology</t>
  </si>
  <si>
    <t>None</t>
  </si>
  <si>
    <t>Orthopedics</t>
  </si>
  <si>
    <t>Physiotherapy</t>
  </si>
  <si>
    <t>Renal</t>
  </si>
  <si>
    <t>Month wise Average patient Age</t>
  </si>
  <si>
    <t>Average of Patient Satisfaction Score</t>
  </si>
  <si>
    <t>Month wise Average patient satisfaction score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</si>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</sst>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7" x14ac:knownFonts="1">
    <font>
      <sz val="11"/>
      <color theme="1"/>
      <name val="Aptos Narrow"/>
      <family val="2"/>
      <scheme val="minor"/>
    </font>
    <font>
      <b/>
      <sz val="11"/>
      <color theme="1"/>
      <name val="Aptos Narrow"/>
      <family val="2"/>
      <scheme val="minor"/>
    </font>
    <font>
      <sz val="11"/>
      <color theme="1"/>
      <name val="Aptos Narrow"/>
      <family val="2"/>
      <scheme val="minor"/>
    </font>
    <font>
      <b/>
      <sz val="28"/>
      <color theme="1"/>
      <name val="Aptos Narrow"/>
      <family val="2"/>
      <scheme val="minor"/>
    </font>
    <font>
      <b/>
      <sz val="12"/>
      <color theme="1"/>
      <name val="Aptos Narrow"/>
      <family val="2"/>
      <scheme val="minor"/>
    </font>
    <font>
      <b/>
      <sz val="12"/>
      <color theme="0"/>
      <name val="Aptos Display"/>
      <family val="2"/>
      <scheme val="major"/>
    </font>
    <font>
      <b/>
      <sz val="12"/>
      <color theme="1"/>
      <name val="Aptos Display"/>
      <family val="2"/>
      <scheme val="maj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3"/>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42">
    <xf numFmtId="0" fontId="0" fillId="0" borderId="0" xfId="0"/>
    <xf numFmtId="0" fontId="0" fillId="0" borderId="6" xfId="0" applyBorder="1"/>
    <xf numFmtId="2" fontId="0" fillId="0" borderId="7" xfId="0" applyNumberFormat="1" applyBorder="1"/>
    <xf numFmtId="0" fontId="0" fillId="0" borderId="7" xfId="0" applyBorder="1"/>
    <xf numFmtId="0" fontId="0" fillId="0" borderId="8" xfId="0" applyBorder="1"/>
    <xf numFmtId="0" fontId="0" fillId="0" borderId="3" xfId="0" applyBorder="1"/>
    <xf numFmtId="164" fontId="0" fillId="0" borderId="8" xfId="0" applyNumberFormat="1" applyBorder="1"/>
    <xf numFmtId="0" fontId="0" fillId="2" borderId="0" xfId="0" applyFill="1"/>
    <xf numFmtId="0" fontId="0" fillId="0" borderId="1" xfId="0" pivotButton="1" applyBorder="1"/>
    <xf numFmtId="0" fontId="0" fillId="0" borderId="4" xfId="0" applyBorder="1"/>
    <xf numFmtId="0" fontId="0" fillId="0" borderId="12" xfId="0" applyBorder="1"/>
    <xf numFmtId="0" fontId="0" fillId="0" borderId="2" xfId="0" pivotButton="1" applyBorder="1"/>
    <xf numFmtId="14" fontId="0" fillId="0" borderId="13" xfId="0" applyNumberFormat="1" applyBorder="1"/>
    <xf numFmtId="164" fontId="0" fillId="0" borderId="9" xfId="0" applyNumberFormat="1" applyBorder="1"/>
    <xf numFmtId="164" fontId="0" fillId="0" borderId="11" xfId="0" applyNumberFormat="1" applyBorder="1"/>
    <xf numFmtId="164" fontId="0" fillId="0" borderId="10" xfId="0" applyNumberFormat="1" applyBorder="1"/>
    <xf numFmtId="0" fontId="1" fillId="0" borderId="0" xfId="0" applyFont="1" applyAlignment="1">
      <alignment vertical="center"/>
    </xf>
    <xf numFmtId="0" fontId="0" fillId="0" borderId="14" xfId="0" pivotButton="1" applyBorder="1"/>
    <xf numFmtId="0" fontId="0" fillId="0" borderId="14" xfId="0" applyBorder="1"/>
    <xf numFmtId="1" fontId="0" fillId="0" borderId="14" xfId="0" applyNumberFormat="1" applyBorder="1"/>
    <xf numFmtId="1" fontId="0" fillId="0" borderId="0" xfId="0" applyNumberFormat="1"/>
    <xf numFmtId="0" fontId="4" fillId="0" borderId="0" xfId="0" applyFont="1" applyAlignment="1">
      <alignment horizontal="center" vertical="center"/>
    </xf>
    <xf numFmtId="1" fontId="4" fillId="0" borderId="0" xfId="0" applyNumberFormat="1" applyFont="1" applyAlignment="1">
      <alignment horizontal="center" vertical="center"/>
    </xf>
    <xf numFmtId="9" fontId="4" fillId="0" borderId="0" xfId="0" applyNumberFormat="1" applyFont="1"/>
    <xf numFmtId="0" fontId="5" fillId="4" borderId="0" xfId="0" applyFont="1" applyFill="1" applyAlignment="1">
      <alignment horizontal="center" vertical="center"/>
    </xf>
    <xf numFmtId="0" fontId="6" fillId="4" borderId="0" xfId="0" applyFont="1" applyFill="1"/>
    <xf numFmtId="165" fontId="4" fillId="0" borderId="0" xfId="1" applyNumberFormat="1" applyFont="1" applyAlignment="1">
      <alignment horizontal="center" vertical="center"/>
    </xf>
    <xf numFmtId="0" fontId="1" fillId="3" borderId="13"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5" xfId="0" applyFont="1" applyFill="1" applyBorder="1" applyAlignment="1">
      <alignment horizontal="center" vertical="center"/>
    </xf>
    <xf numFmtId="14" fontId="0" fillId="0" borderId="0" xfId="0" applyNumberFormat="1" applyBorder="1"/>
    <xf numFmtId="0" fontId="0" fillId="0" borderId="9" xfId="0" applyNumberFormat="1" applyBorder="1"/>
    <xf numFmtId="0" fontId="0" fillId="0" borderId="11" xfId="0" applyNumberFormat="1" applyBorder="1"/>
    <xf numFmtId="0" fontId="0" fillId="0" borderId="10" xfId="0" applyNumberFormat="1" applyBorder="1"/>
    <xf numFmtId="0" fontId="0" fillId="0" borderId="6" xfId="0" applyNumberFormat="1" applyBorder="1"/>
  </cellXfs>
  <cellStyles count="2">
    <cellStyle name="Normal" xfId="0" builtinId="0"/>
    <cellStyle name="Percent" xfId="1" builtinId="5"/>
  </cellStyles>
  <dxfs count="549">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4"/>
        </bottom>
        <vertical/>
        <horizontal/>
      </border>
    </dxf>
    <dxf>
      <font>
        <sz val="14"/>
        <color theme="1"/>
      </font>
      <fill>
        <patternFill patternType="solid">
          <bgColor rgb="FF01161E"/>
        </patternFill>
      </fill>
      <border diagonalUp="0" diagonalDown="0">
        <left/>
        <right/>
        <top/>
        <bottom/>
        <vertical/>
        <horizontal/>
      </border>
    </dxf>
  </dxfs>
  <tableStyles count="1" defaultTableStyle="TableStyleMedium2" defaultPivotStyle="PivotStyleLight16">
    <tableStyle name="SlicerStyleLight1 2" pivot="0" table="0" count="10" xr9:uid="{52B9BD99-403A-4BB9-A393-3AEBF42BC93E}">
      <tableStyleElement type="wholeTable" dxfId="548"/>
      <tableStyleElement type="headerRow" dxfId="547"/>
    </tableStyle>
  </tableStyles>
  <colors>
    <mruColors>
      <color rgb="FFEFF6E0"/>
      <color rgb="FF598392"/>
      <color rgb="FF01161E"/>
      <color rgb="FFAEC3B0"/>
      <color rgb="FF124559"/>
      <color rgb="FFE7ECEF"/>
      <color rgb="FFEFEFEF"/>
      <color rgb="FF4F8A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206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F6E0">
              <a:alpha val="44000"/>
            </a:srgbClr>
          </a:solidFill>
          <a:ln w="25400">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27343581110256E-2"/>
          <c:y val="5.0890067724823358E-2"/>
          <c:w val="0.98037265641888971"/>
          <c:h val="0.93893128970708473"/>
        </c:manualLayout>
      </c:layout>
      <c:areaChart>
        <c:grouping val="standard"/>
        <c:varyColors val="0"/>
        <c:ser>
          <c:idx val="0"/>
          <c:order val="0"/>
          <c:tx>
            <c:strRef>
              <c:f>'Pivot table analysis'!$F$23</c:f>
              <c:strCache>
                <c:ptCount val="1"/>
                <c:pt idx="0">
                  <c:v>Total</c:v>
                </c:pt>
              </c:strCache>
            </c:strRef>
          </c:tx>
          <c:spPr>
            <a:solidFill>
              <a:srgbClr val="EFF6E0">
                <a:alpha val="44000"/>
              </a:srgbClr>
            </a:solidFill>
            <a:ln w="25400">
              <a:noFill/>
            </a:ln>
            <a:effectLst>
              <a:innerShdw blurRad="63500" dist="50800" dir="16200000">
                <a:srgbClr val="598392">
                  <a:alpha val="68000"/>
                </a:srgbClr>
              </a:innerShdw>
            </a:effectLst>
          </c:spPr>
          <c:cat>
            <c:multiLvlStrRef>
              <c:f>'Pivot table analysis'!$D$24:$E$54</c:f>
              <c:multiLvlStrCache>
                <c:ptCount val="31"/>
                <c:lvl>
                  <c:pt idx="0">
                    <c:v>7/1/2024</c:v>
                  </c:pt>
                  <c:pt idx="1">
                    <c:v>7/2/2024</c:v>
                  </c:pt>
                  <c:pt idx="2">
                    <c:v>7/3/2024</c:v>
                  </c:pt>
                  <c:pt idx="3">
                    <c:v>7/4/2024</c:v>
                  </c:pt>
                  <c:pt idx="4">
                    <c:v>7/5/2024</c:v>
                  </c:pt>
                  <c:pt idx="5">
                    <c:v>7/6/2024</c:v>
                  </c:pt>
                  <c:pt idx="6">
                    <c:v>7/7/2024</c:v>
                  </c:pt>
                  <c:pt idx="7">
                    <c:v>7/8/2024</c:v>
                  </c:pt>
                  <c:pt idx="8">
                    <c:v>7/9/2024</c:v>
                  </c:pt>
                  <c:pt idx="9">
                    <c:v>7/10/2024</c:v>
                  </c:pt>
                  <c:pt idx="10">
                    <c:v>7/11/2024</c:v>
                  </c:pt>
                  <c:pt idx="11">
                    <c:v>7/12/2024</c:v>
                  </c:pt>
                  <c:pt idx="12">
                    <c:v>7/13/2024</c:v>
                  </c:pt>
                  <c:pt idx="13">
                    <c:v>7/14/2024</c:v>
                  </c:pt>
                  <c:pt idx="14">
                    <c:v>7/15/2024</c:v>
                  </c:pt>
                  <c:pt idx="15">
                    <c:v>7/16/2024</c:v>
                  </c:pt>
                  <c:pt idx="16">
                    <c:v>7/17/2024</c:v>
                  </c:pt>
                  <c:pt idx="17">
                    <c:v>7/18/2024</c:v>
                  </c:pt>
                  <c:pt idx="18">
                    <c:v>7/19/2024</c:v>
                  </c:pt>
                  <c:pt idx="19">
                    <c:v>7/20/2024</c:v>
                  </c:pt>
                  <c:pt idx="20">
                    <c:v>7/21/2024</c:v>
                  </c:pt>
                  <c:pt idx="21">
                    <c:v>7/22/2024</c:v>
                  </c:pt>
                  <c:pt idx="22">
                    <c:v>7/23/2024</c:v>
                  </c:pt>
                  <c:pt idx="23">
                    <c:v>7/24/2024</c:v>
                  </c:pt>
                  <c:pt idx="24">
                    <c:v>7/25/2024</c:v>
                  </c:pt>
                  <c:pt idx="25">
                    <c:v>7/26/2024</c:v>
                  </c:pt>
                  <c:pt idx="26">
                    <c:v>7/27/2024</c:v>
                  </c:pt>
                  <c:pt idx="27">
                    <c:v>7/28/2024</c:v>
                  </c:pt>
                  <c:pt idx="28">
                    <c:v>7/29/2024</c:v>
                  </c:pt>
                  <c:pt idx="29">
                    <c:v>7/30/2024</c:v>
                  </c:pt>
                  <c:pt idx="30">
                    <c:v>7/31/2024</c:v>
                  </c:pt>
                </c:lvl>
                <c:lvl>
                  <c:pt idx="0">
                    <c:v>Jul</c:v>
                  </c:pt>
                </c:lvl>
              </c:multiLvlStrCache>
            </c:multiLvlStrRef>
          </c:cat>
          <c:val>
            <c:numRef>
              <c:f>'Pivot table analysis'!$F$24:$F$54</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6-F489-482A-9329-8062E582EC3A}"/>
            </c:ext>
          </c:extLst>
        </c:ser>
        <c:dLbls>
          <c:showLegendKey val="0"/>
          <c:showVal val="0"/>
          <c:showCatName val="0"/>
          <c:showSerName val="0"/>
          <c:showPercent val="0"/>
          <c:showBubbleSize val="0"/>
        </c:dLbls>
        <c:axId val="592759647"/>
        <c:axId val="592746687"/>
      </c:areaChart>
      <c:catAx>
        <c:axId val="592759647"/>
        <c:scaling>
          <c:orientation val="minMax"/>
        </c:scaling>
        <c:delete val="1"/>
        <c:axPos val="b"/>
        <c:numFmt formatCode="General" sourceLinked="1"/>
        <c:majorTickMark val="none"/>
        <c:minorTickMark val="none"/>
        <c:tickLblPos val="nextTo"/>
        <c:crossAx val="592746687"/>
        <c:crosses val="autoZero"/>
        <c:auto val="1"/>
        <c:lblAlgn val="ctr"/>
        <c:lblOffset val="100"/>
        <c:noMultiLvlLbl val="0"/>
      </c:catAx>
      <c:valAx>
        <c:axId val="592746687"/>
        <c:scaling>
          <c:orientation val="minMax"/>
        </c:scaling>
        <c:delete val="1"/>
        <c:axPos val="l"/>
        <c:numFmt formatCode="General" sourceLinked="1"/>
        <c:majorTickMark val="none"/>
        <c:minorTickMark val="none"/>
        <c:tickLblPos val="nextTo"/>
        <c:crossAx val="59275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analysis!PivotTable3</c:name>
    <c:fmtId val="13"/>
  </c:pivotSource>
  <c:chart>
    <c:autoTitleDeleted val="1"/>
    <c:pivotFmts>
      <c:pivotFmt>
        <c:idx val="0"/>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EC3B0">
              <a:alpha val="46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8721461279152822"/>
          <c:h val="1"/>
        </c:manualLayout>
      </c:layout>
      <c:areaChart>
        <c:grouping val="standard"/>
        <c:varyColors val="0"/>
        <c:ser>
          <c:idx val="0"/>
          <c:order val="0"/>
          <c:tx>
            <c:strRef>
              <c:f>'Pivot table analysis'!$J$23</c:f>
              <c:strCache>
                <c:ptCount val="1"/>
                <c:pt idx="0">
                  <c:v>Total</c:v>
                </c:pt>
              </c:strCache>
            </c:strRef>
          </c:tx>
          <c:spPr>
            <a:solidFill>
              <a:srgbClr val="AEC3B0">
                <a:alpha val="46000"/>
              </a:srgbClr>
            </a:solidFill>
            <a:ln w="25400">
              <a:noFill/>
            </a:ln>
            <a:effectLst/>
          </c:spPr>
          <c:cat>
            <c:multiLvlStrRef>
              <c:f>'Pivot table analysis'!$H$24:$I$54</c:f>
              <c:multiLvlStrCache>
                <c:ptCount val="31"/>
                <c:lvl>
                  <c:pt idx="0">
                    <c:v>7/1/2024</c:v>
                  </c:pt>
                  <c:pt idx="1">
                    <c:v>7/2/2024</c:v>
                  </c:pt>
                  <c:pt idx="2">
                    <c:v>7/3/2024</c:v>
                  </c:pt>
                  <c:pt idx="3">
                    <c:v>7/4/2024</c:v>
                  </c:pt>
                  <c:pt idx="4">
                    <c:v>7/5/2024</c:v>
                  </c:pt>
                  <c:pt idx="5">
                    <c:v>7/6/2024</c:v>
                  </c:pt>
                  <c:pt idx="6">
                    <c:v>7/7/2024</c:v>
                  </c:pt>
                  <c:pt idx="7">
                    <c:v>7/8/2024</c:v>
                  </c:pt>
                  <c:pt idx="8">
                    <c:v>7/9/2024</c:v>
                  </c:pt>
                  <c:pt idx="9">
                    <c:v>7/10/2024</c:v>
                  </c:pt>
                  <c:pt idx="10">
                    <c:v>7/11/2024</c:v>
                  </c:pt>
                  <c:pt idx="11">
                    <c:v>7/12/2024</c:v>
                  </c:pt>
                  <c:pt idx="12">
                    <c:v>7/13/2024</c:v>
                  </c:pt>
                  <c:pt idx="13">
                    <c:v>7/14/2024</c:v>
                  </c:pt>
                  <c:pt idx="14">
                    <c:v>7/15/2024</c:v>
                  </c:pt>
                  <c:pt idx="15">
                    <c:v>7/16/2024</c:v>
                  </c:pt>
                  <c:pt idx="16">
                    <c:v>7/17/2024</c:v>
                  </c:pt>
                  <c:pt idx="17">
                    <c:v>7/18/2024</c:v>
                  </c:pt>
                  <c:pt idx="18">
                    <c:v>7/19/2024</c:v>
                  </c:pt>
                  <c:pt idx="19">
                    <c:v>7/20/2024</c:v>
                  </c:pt>
                  <c:pt idx="20">
                    <c:v>7/21/2024</c:v>
                  </c:pt>
                  <c:pt idx="21">
                    <c:v>7/22/2024</c:v>
                  </c:pt>
                  <c:pt idx="22">
                    <c:v>7/23/2024</c:v>
                  </c:pt>
                  <c:pt idx="23">
                    <c:v>7/24/2024</c:v>
                  </c:pt>
                  <c:pt idx="24">
                    <c:v>7/25/2024</c:v>
                  </c:pt>
                  <c:pt idx="25">
                    <c:v>7/26/2024</c:v>
                  </c:pt>
                  <c:pt idx="26">
                    <c:v>7/27/2024</c:v>
                  </c:pt>
                  <c:pt idx="27">
                    <c:v>7/28/2024</c:v>
                  </c:pt>
                  <c:pt idx="28">
                    <c:v>7/29/2024</c:v>
                  </c:pt>
                  <c:pt idx="29">
                    <c:v>7/30/2024</c:v>
                  </c:pt>
                  <c:pt idx="30">
                    <c:v>7/31/2024</c:v>
                  </c:pt>
                </c:lvl>
                <c:lvl>
                  <c:pt idx="0">
                    <c:v>Jul</c:v>
                  </c:pt>
                </c:lvl>
              </c:multiLvlStrCache>
            </c:multiLvlStrRef>
          </c:cat>
          <c:val>
            <c:numRef>
              <c:f>'Pivot table analysis'!$J$24:$J$54</c:f>
              <c:numCache>
                <c:formatCode>0.0</c:formatCode>
                <c:ptCount val="31"/>
                <c:pt idx="0">
                  <c:v>28.588235294117649</c:v>
                </c:pt>
                <c:pt idx="1">
                  <c:v>42.315789473684212</c:v>
                </c:pt>
                <c:pt idx="2">
                  <c:v>37.916666666666664</c:v>
                </c:pt>
                <c:pt idx="3">
                  <c:v>40.222222222222221</c:v>
                </c:pt>
                <c:pt idx="4">
                  <c:v>24.333333333333332</c:v>
                </c:pt>
                <c:pt idx="5">
                  <c:v>42.2</c:v>
                </c:pt>
                <c:pt idx="6">
                  <c:v>48.222222222222221</c:v>
                </c:pt>
                <c:pt idx="7">
                  <c:v>49.263157894736842</c:v>
                </c:pt>
                <c:pt idx="8">
                  <c:v>41.263157894736842</c:v>
                </c:pt>
                <c:pt idx="9">
                  <c:v>44</c:v>
                </c:pt>
                <c:pt idx="10">
                  <c:v>45.333333333333336</c:v>
                </c:pt>
                <c:pt idx="11">
                  <c:v>44.84</c:v>
                </c:pt>
                <c:pt idx="12">
                  <c:v>35.210526315789473</c:v>
                </c:pt>
                <c:pt idx="13">
                  <c:v>42.333333333333336</c:v>
                </c:pt>
                <c:pt idx="14">
                  <c:v>37.642857142857146</c:v>
                </c:pt>
                <c:pt idx="15">
                  <c:v>46.45</c:v>
                </c:pt>
                <c:pt idx="16">
                  <c:v>42.5</c:v>
                </c:pt>
                <c:pt idx="17">
                  <c:v>35.428571428571431</c:v>
                </c:pt>
                <c:pt idx="18">
                  <c:v>30.294117647058822</c:v>
                </c:pt>
                <c:pt idx="19">
                  <c:v>33.375</c:v>
                </c:pt>
                <c:pt idx="20">
                  <c:v>37.833333333333336</c:v>
                </c:pt>
                <c:pt idx="21">
                  <c:v>47.875</c:v>
                </c:pt>
                <c:pt idx="22">
                  <c:v>34.647058823529413</c:v>
                </c:pt>
                <c:pt idx="23">
                  <c:v>50.727272727272727</c:v>
                </c:pt>
                <c:pt idx="24">
                  <c:v>41.333333333333336</c:v>
                </c:pt>
                <c:pt idx="25">
                  <c:v>47.769230769230766</c:v>
                </c:pt>
                <c:pt idx="26">
                  <c:v>41.823529411764703</c:v>
                </c:pt>
                <c:pt idx="27">
                  <c:v>42.45</c:v>
                </c:pt>
                <c:pt idx="28">
                  <c:v>37.700000000000003</c:v>
                </c:pt>
                <c:pt idx="29">
                  <c:v>42.153846153846153</c:v>
                </c:pt>
                <c:pt idx="30">
                  <c:v>43.6875</c:v>
                </c:pt>
              </c:numCache>
            </c:numRef>
          </c:val>
          <c:extLst>
            <c:ext xmlns:c16="http://schemas.microsoft.com/office/drawing/2014/chart" uri="{C3380CC4-5D6E-409C-BE32-E72D297353CC}">
              <c16:uniqueId val="{00000007-E6C1-454F-9FFC-308F4C59E738}"/>
            </c:ext>
          </c:extLst>
        </c:ser>
        <c:dLbls>
          <c:showLegendKey val="0"/>
          <c:showVal val="0"/>
          <c:showCatName val="0"/>
          <c:showSerName val="0"/>
          <c:showPercent val="0"/>
          <c:showBubbleSize val="0"/>
        </c:dLbls>
        <c:axId val="786254319"/>
        <c:axId val="786270159"/>
      </c:areaChart>
      <c:catAx>
        <c:axId val="786254319"/>
        <c:scaling>
          <c:orientation val="minMax"/>
        </c:scaling>
        <c:delete val="1"/>
        <c:axPos val="b"/>
        <c:numFmt formatCode="General" sourceLinked="1"/>
        <c:majorTickMark val="out"/>
        <c:minorTickMark val="none"/>
        <c:tickLblPos val="nextTo"/>
        <c:crossAx val="786270159"/>
        <c:crosses val="autoZero"/>
        <c:auto val="1"/>
        <c:lblAlgn val="ctr"/>
        <c:lblOffset val="100"/>
        <c:noMultiLvlLbl val="0"/>
      </c:catAx>
      <c:valAx>
        <c:axId val="786270159"/>
        <c:scaling>
          <c:orientation val="minMax"/>
        </c:scaling>
        <c:delete val="1"/>
        <c:axPos val="l"/>
        <c:numFmt formatCode="0.0" sourceLinked="1"/>
        <c:majorTickMark val="none"/>
        <c:minorTickMark val="none"/>
        <c:tickLblPos val="nextTo"/>
        <c:crossAx val="786254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analysis!PivotTable4</c:name>
    <c:fmtId val="1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Gender</a:t>
            </a:r>
            <a:r>
              <a:rPr lang="en-US" sz="1600" b="1" baseline="0">
                <a:solidFill>
                  <a:schemeClr val="tx1"/>
                </a:solidFill>
              </a:rPr>
              <a:t> Wise Patient</a:t>
            </a:r>
            <a:endParaRPr lang="en-US" sz="1600" b="1">
              <a:solidFill>
                <a:schemeClr val="tx1"/>
              </a:solidFill>
            </a:endParaRPr>
          </a:p>
        </c:rich>
      </c:tx>
      <c:layout>
        <c:manualLayout>
          <c:xMode val="edge"/>
          <c:yMode val="edge"/>
          <c:x val="0.26506756400402215"/>
          <c:y val="3.57941750382133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s>
    <c:plotArea>
      <c:layout>
        <c:manualLayout>
          <c:layoutTarget val="inner"/>
          <c:xMode val="edge"/>
          <c:yMode val="edge"/>
          <c:x val="0.27082059852655221"/>
          <c:y val="0.22805727819589841"/>
          <c:w val="0.33050141491448692"/>
          <c:h val="0.71825145924678158"/>
        </c:manualLayout>
      </c:layout>
      <c:doughnutChart>
        <c:varyColors val="1"/>
        <c:ser>
          <c:idx val="0"/>
          <c:order val="0"/>
          <c:tx>
            <c:strRef>
              <c:f>'Pivot table analysis'!$L$8</c:f>
              <c:strCache>
                <c:ptCount val="1"/>
                <c:pt idx="0">
                  <c:v>Total</c:v>
                </c:pt>
              </c:strCache>
            </c:strRef>
          </c:tx>
          <c:spPr>
            <a:solidFill>
              <a:schemeClr val="accent1"/>
            </a:solidFill>
            <a:ln>
              <a:noFill/>
            </a:ln>
          </c:spPr>
          <c:dPt>
            <c:idx val="0"/>
            <c:bubble3D val="0"/>
            <c:spPr>
              <a:solidFill>
                <a:srgbClr val="AEC3B0"/>
              </a:solidFill>
              <a:ln w="19050">
                <a:noFill/>
              </a:ln>
              <a:effectLst/>
            </c:spPr>
            <c:extLst>
              <c:ext xmlns:c16="http://schemas.microsoft.com/office/drawing/2014/chart" uri="{C3380CC4-5D6E-409C-BE32-E72D297353CC}">
                <c16:uniqueId val="{00000001-96CE-4B1D-8A2F-83374105DCF6}"/>
              </c:ext>
            </c:extLst>
          </c:dPt>
          <c:dPt>
            <c:idx val="1"/>
            <c:bubble3D val="0"/>
            <c:spPr>
              <a:solidFill>
                <a:srgbClr val="598392"/>
              </a:solidFill>
              <a:ln w="19050">
                <a:noFill/>
              </a:ln>
              <a:effectLst/>
            </c:spPr>
            <c:extLst>
              <c:ext xmlns:c16="http://schemas.microsoft.com/office/drawing/2014/chart" uri="{C3380CC4-5D6E-409C-BE32-E72D297353CC}">
                <c16:uniqueId val="{00000003-96CE-4B1D-8A2F-83374105DCF6}"/>
              </c:ext>
            </c:extLst>
          </c:dPt>
          <c:dLbls>
            <c:dLbl>
              <c:idx val="0"/>
              <c:layout>
                <c:manualLayout>
                  <c:x val="0.10256410256410244"/>
                  <c:y val="-0.1193139167940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CE-4B1D-8A2F-83374105DCF6}"/>
                </c:ext>
              </c:extLst>
            </c:dLbl>
            <c:dLbl>
              <c:idx val="1"/>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 xmlns:c16="http://schemas.microsoft.com/office/drawing/2014/chart" uri="{C3380CC4-5D6E-409C-BE32-E72D297353CC}">
                  <c16:uniqueId val="{00000003-96CE-4B1D-8A2F-83374105DCF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19050" cap="flat" cmpd="sng" algn="ctr">
                  <a:solidFill>
                    <a:srgbClr val="EFF6E0">
                      <a:alpha val="66000"/>
                    </a:srgbClr>
                  </a:solidFill>
                  <a:round/>
                </a:ln>
                <a:effectLst/>
              </c:spPr>
            </c:leaderLines>
            <c:extLst>
              <c:ext xmlns:c15="http://schemas.microsoft.com/office/drawing/2012/chart" uri="{CE6537A1-D6FC-4f65-9D91-7224C49458BB}"/>
            </c:extLst>
          </c:dLbls>
          <c:cat>
            <c:strRef>
              <c:f>'Pivot table analysis'!$K$9:$K$10</c:f>
              <c:strCache>
                <c:ptCount val="2"/>
                <c:pt idx="0">
                  <c:v>Female</c:v>
                </c:pt>
                <c:pt idx="1">
                  <c:v>Male</c:v>
                </c:pt>
              </c:strCache>
            </c:strRef>
          </c:cat>
          <c:val>
            <c:numRef>
              <c:f>'Pivot table analysis'!$L$9:$L$10</c:f>
              <c:numCache>
                <c:formatCode>0</c:formatCode>
                <c:ptCount val="2"/>
                <c:pt idx="0">
                  <c:v>460</c:v>
                </c:pt>
                <c:pt idx="1">
                  <c:v>492</c:v>
                </c:pt>
              </c:numCache>
            </c:numRef>
          </c:val>
          <c:extLst>
            <c:ext xmlns:c16="http://schemas.microsoft.com/office/drawing/2014/chart" uri="{C3380CC4-5D6E-409C-BE32-E72D297353CC}">
              <c16:uniqueId val="{00000004-96CE-4B1D-8A2F-83374105DCF6}"/>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analysis!PivotTable5</c:name>
    <c:fmtId val="26"/>
  </c:pivotSource>
  <c:chart>
    <c:title>
      <c:tx>
        <c:rich>
          <a:bodyPr rot="0" spcFirstLastPara="1" vertOverflow="ellipsis" vert="horz" wrap="square" anchor="ctr" anchorCtr="1"/>
          <a:lstStyle/>
          <a:p>
            <a:pPr algn="l">
              <a:defRPr lang="en-US" sz="1600" b="1" i="0" u="none" strike="noStrike" kern="1200" spc="0" baseline="0">
                <a:solidFill>
                  <a:schemeClr val="tx1"/>
                </a:solidFill>
                <a:latin typeface="+mn-lt"/>
                <a:ea typeface="+mn-ea"/>
                <a:cs typeface="+mn-cs"/>
              </a:defRPr>
            </a:pPr>
            <a:r>
              <a:rPr lang="en-US" sz="1600" b="1">
                <a:solidFill>
                  <a:schemeClr val="tx1"/>
                </a:solidFill>
              </a:rPr>
              <a:t>Patient</a:t>
            </a:r>
            <a:r>
              <a:rPr lang="en-US" sz="1600" b="1" baseline="0">
                <a:solidFill>
                  <a:schemeClr val="tx1"/>
                </a:solidFill>
              </a:rPr>
              <a:t> Attend Status</a:t>
            </a:r>
            <a:endParaRPr lang="en-US" sz="1600" b="1">
              <a:solidFill>
                <a:schemeClr val="tx1"/>
              </a:solidFill>
            </a:endParaRPr>
          </a:p>
        </c:rich>
      </c:tx>
      <c:layout>
        <c:manualLayout>
          <c:xMode val="edge"/>
          <c:yMode val="edge"/>
          <c:x val="0.27908774642442985"/>
          <c:y val="4.6901175622283041E-2"/>
        </c:manualLayout>
      </c:layout>
      <c:overlay val="0"/>
      <c:spPr>
        <a:noFill/>
        <a:ln>
          <a:noFill/>
        </a:ln>
        <a:effectLst/>
      </c:spPr>
      <c:txPr>
        <a:bodyPr rot="0" spcFirstLastPara="1" vertOverflow="ellipsis" vert="horz" wrap="square" anchor="ctr" anchorCtr="1"/>
        <a:lstStyle/>
        <a:p>
          <a:pPr algn="l">
            <a:defRPr lang="en-US"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noFill/>
          </a:ln>
          <a:effectLst/>
        </c:spPr>
        <c:dLbl>
          <c:idx val="0"/>
          <c:layout>
            <c:manualLayout>
              <c:x val="-3.9215686274509831E-2"/>
              <c:y val="-0.19667394211464118"/>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Lst>
        </c:dLbl>
      </c:pivotFmt>
      <c:pivotFmt>
        <c:idx val="2"/>
        <c:spPr>
          <a:solidFill>
            <a:schemeClr val="accent1"/>
          </a:solidFill>
          <a:ln w="19050">
            <a:noFill/>
          </a:ln>
          <a:effectLst/>
        </c:spPr>
        <c:dLbl>
          <c:idx val="0"/>
          <c:layout>
            <c:manualLayout>
              <c:x val="7.2398190045248875E-2"/>
              <c:y val="8.09833879295581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dLbl>
          <c:idx val="0"/>
          <c:layout>
            <c:manualLayout>
              <c:x val="7.2398190045248875E-2"/>
              <c:y val="8.09833879295581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3.9215686274509831E-2"/>
              <c:y val="-0.19667394211464118"/>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EC3B0"/>
          </a:solidFill>
          <a:ln w="19050">
            <a:noFill/>
          </a:ln>
          <a:effectLst/>
        </c:spPr>
        <c:dLbl>
          <c:idx val="0"/>
          <c:layout>
            <c:manualLayout>
              <c:x val="7.2398190045248875E-2"/>
              <c:y val="8.0983387929558115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98392"/>
          </a:solidFill>
          <a:ln w="19050">
            <a:noFill/>
          </a:ln>
          <a:effectLst/>
        </c:spPr>
        <c:dLbl>
          <c:idx val="0"/>
          <c:layout>
            <c:manualLayout>
              <c:x val="-8.771460103863063E-2"/>
              <c:y val="-3.8382564949588159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Lst>
        </c:dLbl>
      </c:pivotFmt>
    </c:pivotFmts>
    <c:plotArea>
      <c:layout>
        <c:manualLayout>
          <c:layoutTarget val="inner"/>
          <c:xMode val="edge"/>
          <c:yMode val="edge"/>
          <c:x val="0.27342403141265731"/>
          <c:y val="0.21960967696815289"/>
          <c:w val="0.34248885226605885"/>
          <c:h val="0.74521444131513481"/>
        </c:manualLayout>
      </c:layout>
      <c:doughnutChart>
        <c:varyColors val="1"/>
        <c:ser>
          <c:idx val="0"/>
          <c:order val="0"/>
          <c:tx>
            <c:strRef>
              <c:f>'Pivot table analysis'!$L$14</c:f>
              <c:strCache>
                <c:ptCount val="1"/>
                <c:pt idx="0">
                  <c:v>Total</c:v>
                </c:pt>
              </c:strCache>
            </c:strRef>
          </c:tx>
          <c:spPr>
            <a:solidFill>
              <a:schemeClr val="accent1"/>
            </a:solidFill>
            <a:ln>
              <a:noFill/>
            </a:ln>
          </c:spPr>
          <c:dPt>
            <c:idx val="0"/>
            <c:bubble3D val="0"/>
            <c:spPr>
              <a:solidFill>
                <a:srgbClr val="AEC3B0"/>
              </a:solidFill>
              <a:ln w="19050">
                <a:noFill/>
              </a:ln>
              <a:effectLst/>
            </c:spPr>
            <c:extLst>
              <c:ext xmlns:c16="http://schemas.microsoft.com/office/drawing/2014/chart" uri="{C3380CC4-5D6E-409C-BE32-E72D297353CC}">
                <c16:uniqueId val="{00000001-EFB0-479F-888B-8F1B523F023C}"/>
              </c:ext>
            </c:extLst>
          </c:dPt>
          <c:dPt>
            <c:idx val="1"/>
            <c:bubble3D val="0"/>
            <c:spPr>
              <a:solidFill>
                <a:srgbClr val="598392"/>
              </a:solidFill>
              <a:ln w="19050">
                <a:noFill/>
              </a:ln>
              <a:effectLst/>
            </c:spPr>
            <c:extLst>
              <c:ext xmlns:c16="http://schemas.microsoft.com/office/drawing/2014/chart" uri="{C3380CC4-5D6E-409C-BE32-E72D297353CC}">
                <c16:uniqueId val="{00000003-EFB0-479F-888B-8F1B523F023C}"/>
              </c:ext>
            </c:extLst>
          </c:dPt>
          <c:dLbls>
            <c:dLbl>
              <c:idx val="0"/>
              <c:layout>
                <c:manualLayout>
                  <c:x val="7.2398190045248875E-2"/>
                  <c:y val="8.09833879295581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B0-479F-888B-8F1B523F023C}"/>
                </c:ext>
              </c:extLst>
            </c:dLbl>
            <c:dLbl>
              <c:idx val="1"/>
              <c:layout>
                <c:manualLayout>
                  <c:x val="-8.771460103863063E-2"/>
                  <c:y val="-3.8382564949588159E-2"/>
                </c:manualLayout>
              </c:layout>
              <c:showLegendKey val="0"/>
              <c:showVal val="0"/>
              <c:showCatName val="0"/>
              <c:showSerName val="0"/>
              <c:showPercent val="1"/>
              <c:showBubbleSize val="0"/>
              <c:extLst>
                <c:ext xmlns:c15="http://schemas.microsoft.com/office/drawing/2012/chart" uri="{CE6537A1-D6FC-4f65-9D91-7224C49458BB}">
                  <c15:layout>
                    <c:manualLayout>
                      <c:w val="6.6259308084227031E-2"/>
                      <c:h val="0.12717306942526388"/>
                    </c:manualLayout>
                  </c15:layout>
                </c:ext>
                <c:ext xmlns:c16="http://schemas.microsoft.com/office/drawing/2014/chart" uri="{C3380CC4-5D6E-409C-BE32-E72D297353CC}">
                  <c16:uniqueId val="{00000003-EFB0-479F-888B-8F1B523F023C}"/>
                </c:ext>
              </c:extLst>
            </c:dLbl>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analysis'!$K$15:$K$16</c:f>
              <c:strCache>
                <c:ptCount val="2"/>
                <c:pt idx="0">
                  <c:v>Delay</c:v>
                </c:pt>
                <c:pt idx="1">
                  <c:v>Within Time</c:v>
                </c:pt>
              </c:strCache>
            </c:strRef>
          </c:cat>
          <c:val>
            <c:numRef>
              <c:f>'Pivot table analysis'!$L$15:$L$16</c:f>
              <c:numCache>
                <c:formatCode>0</c:formatCode>
                <c:ptCount val="2"/>
                <c:pt idx="0">
                  <c:v>305</c:v>
                </c:pt>
                <c:pt idx="1">
                  <c:v>183</c:v>
                </c:pt>
              </c:numCache>
            </c:numRef>
          </c:val>
          <c:extLst>
            <c:ext xmlns:c16="http://schemas.microsoft.com/office/drawing/2014/chart" uri="{C3380CC4-5D6E-409C-BE32-E72D297353CC}">
              <c16:uniqueId val="{0000000F-8A99-405E-A7B1-AD887228F09E}"/>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Age</a:t>
            </a:r>
            <a:r>
              <a:rPr lang="en-US" sz="1600" b="1" baseline="0">
                <a:solidFill>
                  <a:schemeClr val="tx1"/>
                </a:solidFill>
              </a:rPr>
              <a:t> Group Wise Patient</a:t>
            </a:r>
            <a:endParaRPr lang="en-US" sz="1600" b="1">
              <a:solidFill>
                <a:schemeClr val="tx1"/>
              </a:solidFill>
            </a:endParaRPr>
          </a:p>
        </c:rich>
      </c:tx>
      <c:layout>
        <c:manualLayout>
          <c:xMode val="edge"/>
          <c:yMode val="edge"/>
          <c:x val="0.41322455445025474"/>
          <c:y val="2.991453159221860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EFEFEF"/>
            </a:solidFill>
            <a:ln>
              <a:noFill/>
            </a:ln>
            <a:effectLst>
              <a:outerShdw blurRad="50800" dist="38100" dir="2700000" algn="tl" rotWithShape="0">
                <a:prstClr val="black">
                  <a:alpha val="51000"/>
                </a:prstClr>
              </a:outerShdw>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analysis'!$M$63:$M$69</c:f>
              <c:numCache>
                <c:formatCode>General</c:formatCode>
                <c:ptCount val="7"/>
                <c:pt idx="0">
                  <c:v>40</c:v>
                </c:pt>
                <c:pt idx="1">
                  <c:v>133</c:v>
                </c:pt>
                <c:pt idx="2">
                  <c:v>185</c:v>
                </c:pt>
                <c:pt idx="3">
                  <c:v>163</c:v>
                </c:pt>
                <c:pt idx="4">
                  <c:v>205</c:v>
                </c:pt>
                <c:pt idx="5">
                  <c:v>100</c:v>
                </c:pt>
                <c:pt idx="6">
                  <c:v>126</c:v>
                </c:pt>
              </c:numCache>
            </c:numRef>
          </c:val>
          <c:extLst>
            <c:ext xmlns:c16="http://schemas.microsoft.com/office/drawing/2014/chart" uri="{C3380CC4-5D6E-409C-BE32-E72D297353CC}">
              <c16:uniqueId val="{00000000-EF71-4E8C-854F-53FDA311CB32}"/>
            </c:ext>
          </c:extLst>
        </c:ser>
        <c:ser>
          <c:idx val="1"/>
          <c:order val="1"/>
          <c:spPr>
            <a:solidFill>
              <a:srgbClr val="598392"/>
            </a:solidFill>
            <a:ln>
              <a:noFill/>
            </a:ln>
            <a:effectLst/>
          </c:spPr>
          <c:invertIfNegative val="0"/>
          <c:dLbls>
            <c:delete val="1"/>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analysis'!$N$63:$N$69</c:f>
              <c:numCache>
                <c:formatCode>General</c:formatCode>
                <c:ptCount val="7"/>
                <c:pt idx="0">
                  <c:v>0</c:v>
                </c:pt>
                <c:pt idx="1">
                  <c:v>0</c:v>
                </c:pt>
                <c:pt idx="2">
                  <c:v>0</c:v>
                </c:pt>
                <c:pt idx="3">
                  <c:v>0</c:v>
                </c:pt>
                <c:pt idx="4">
                  <c:v>205</c:v>
                </c:pt>
                <c:pt idx="5">
                  <c:v>0</c:v>
                </c:pt>
                <c:pt idx="6">
                  <c:v>0</c:v>
                </c:pt>
              </c:numCache>
            </c:numRef>
          </c:val>
          <c:extLst>
            <c:ext xmlns:c16="http://schemas.microsoft.com/office/drawing/2014/chart" uri="{C3380CC4-5D6E-409C-BE32-E72D297353CC}">
              <c16:uniqueId val="{00000001-EF71-4E8C-854F-53FDA311CB32}"/>
            </c:ext>
          </c:extLst>
        </c:ser>
        <c:ser>
          <c:idx val="2"/>
          <c:order val="2"/>
          <c:spPr>
            <a:solidFill>
              <a:srgbClr val="AEC3B0"/>
            </a:solidFill>
            <a:ln>
              <a:noFill/>
            </a:ln>
            <a:effectLst/>
          </c:spPr>
          <c:invertIfNegative val="0"/>
          <c:dLbls>
            <c:delete val="1"/>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analysis'!$O$54:$O$60</c:f>
              <c:numCache>
                <c:formatCode>General</c:formatCode>
                <c:ptCount val="7"/>
                <c:pt idx="0">
                  <c:v>40</c:v>
                </c:pt>
                <c:pt idx="1">
                  <c:v>0</c:v>
                </c:pt>
                <c:pt idx="2">
                  <c:v>0</c:v>
                </c:pt>
                <c:pt idx="3">
                  <c:v>0</c:v>
                </c:pt>
                <c:pt idx="4">
                  <c:v>0</c:v>
                </c:pt>
                <c:pt idx="5">
                  <c:v>0</c:v>
                </c:pt>
                <c:pt idx="6">
                  <c:v>0</c:v>
                </c:pt>
              </c:numCache>
            </c:numRef>
          </c:val>
          <c:extLst>
            <c:ext xmlns:c16="http://schemas.microsoft.com/office/drawing/2014/chart" uri="{C3380CC4-5D6E-409C-BE32-E72D297353CC}">
              <c16:uniqueId val="{00000000-BCFD-43EF-84CB-4ADEBA7B1C6C}"/>
            </c:ext>
          </c:extLst>
        </c:ser>
        <c:dLbls>
          <c:dLblPos val="outEnd"/>
          <c:showLegendKey val="0"/>
          <c:showVal val="1"/>
          <c:showCatName val="0"/>
          <c:showSerName val="0"/>
          <c:showPercent val="0"/>
          <c:showBubbleSize val="0"/>
        </c:dLbls>
        <c:gapWidth val="59"/>
        <c:overlap val="100"/>
        <c:axId val="333498239"/>
        <c:axId val="333476159"/>
      </c:barChart>
      <c:catAx>
        <c:axId val="3334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33476159"/>
        <c:crosses val="autoZero"/>
        <c:auto val="1"/>
        <c:lblAlgn val="ctr"/>
        <c:lblOffset val="100"/>
        <c:noMultiLvlLbl val="0"/>
      </c:catAx>
      <c:valAx>
        <c:axId val="333476159"/>
        <c:scaling>
          <c:orientation val="minMax"/>
        </c:scaling>
        <c:delete val="1"/>
        <c:axPos val="l"/>
        <c:numFmt formatCode="General" sourceLinked="1"/>
        <c:majorTickMark val="none"/>
        <c:minorTickMark val="none"/>
        <c:tickLblPos val="nextTo"/>
        <c:crossAx val="3334982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analysis!PivotTable7</c:name>
    <c:fmtId val="3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Department Referal Wise</a:t>
            </a:r>
            <a:r>
              <a:rPr lang="en-US" sz="1800" b="1" baseline="0">
                <a:solidFill>
                  <a:schemeClr val="tx1"/>
                </a:solidFill>
              </a:rPr>
              <a:t> Patient</a:t>
            </a:r>
            <a:endParaRPr lang="en-US" sz="1800" b="1">
              <a:solidFill>
                <a:schemeClr val="tx1"/>
              </a:solidFill>
            </a:endParaRPr>
          </a:p>
        </c:rich>
      </c:tx>
      <c:layout>
        <c:manualLayout>
          <c:xMode val="edge"/>
          <c:yMode val="edge"/>
          <c:x val="0.30002627098635665"/>
          <c:y val="2.440724976034771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9839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4892229180505"/>
          <c:y val="0.21698855351414403"/>
          <c:w val="0.65012326095621398"/>
          <c:h val="0.68524168853893264"/>
        </c:manualLayout>
      </c:layout>
      <c:barChart>
        <c:barDir val="bar"/>
        <c:grouping val="clustered"/>
        <c:varyColors val="0"/>
        <c:ser>
          <c:idx val="0"/>
          <c:order val="0"/>
          <c:tx>
            <c:strRef>
              <c:f>'Pivot table analysis'!$E$91</c:f>
              <c:strCache>
                <c:ptCount val="1"/>
                <c:pt idx="0">
                  <c:v>Total</c:v>
                </c:pt>
              </c:strCache>
            </c:strRef>
          </c:tx>
          <c:spPr>
            <a:solidFill>
              <a:srgbClr val="59839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analysis'!$D$92:$D$99</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table analysis'!$E$92:$E$99</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3C79-45A6-9787-A66E90B19749}"/>
            </c:ext>
          </c:extLst>
        </c:ser>
        <c:dLbls>
          <c:dLblPos val="outEnd"/>
          <c:showLegendKey val="0"/>
          <c:showVal val="1"/>
          <c:showCatName val="0"/>
          <c:showSerName val="0"/>
          <c:showPercent val="0"/>
          <c:showBubbleSize val="0"/>
        </c:dLbls>
        <c:gapWidth val="34"/>
        <c:overlap val="100"/>
        <c:axId val="1676064416"/>
        <c:axId val="1676046176"/>
      </c:barChart>
      <c:catAx>
        <c:axId val="167606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76046176"/>
        <c:crosses val="autoZero"/>
        <c:auto val="1"/>
        <c:lblAlgn val="ctr"/>
        <c:lblOffset val="100"/>
        <c:noMultiLvlLbl val="0"/>
      </c:catAx>
      <c:valAx>
        <c:axId val="1676046176"/>
        <c:scaling>
          <c:orientation val="minMax"/>
        </c:scaling>
        <c:delete val="1"/>
        <c:axPos val="b"/>
        <c:numFmt formatCode="0" sourceLinked="1"/>
        <c:majorTickMark val="none"/>
        <c:minorTickMark val="none"/>
        <c:tickLblPos val="nextTo"/>
        <c:crossAx val="167606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8392">
              <a:alpha val="68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20303663230346E-2"/>
          <c:y val="0.14419469276828006"/>
          <c:w val="0.9849556215282631"/>
          <c:h val="0.85580530723171999"/>
        </c:manualLayout>
      </c:layout>
      <c:areaChart>
        <c:grouping val="standard"/>
        <c:varyColors val="0"/>
        <c:ser>
          <c:idx val="0"/>
          <c:order val="0"/>
          <c:tx>
            <c:strRef>
              <c:f>'Pivot table analysis'!$N$93</c:f>
              <c:strCache>
                <c:ptCount val="1"/>
                <c:pt idx="0">
                  <c:v>Total</c:v>
                </c:pt>
              </c:strCache>
            </c:strRef>
          </c:tx>
          <c:spPr>
            <a:solidFill>
              <a:srgbClr val="598392">
                <a:alpha val="68000"/>
              </a:srgbClr>
            </a:solidFill>
            <a:ln w="25400">
              <a:noFill/>
            </a:ln>
            <a:effectLst/>
          </c:spPr>
          <c:cat>
            <c:multiLvlStrRef>
              <c:f>'Pivot table analysis'!$L$94:$M$124</c:f>
              <c:multiLvlStrCache>
                <c:ptCount val="31"/>
                <c:lvl>
                  <c:pt idx="0">
                    <c:v>7/1/2024</c:v>
                  </c:pt>
                  <c:pt idx="1">
                    <c:v>7/2/2024</c:v>
                  </c:pt>
                  <c:pt idx="2">
                    <c:v>7/3/2024</c:v>
                  </c:pt>
                  <c:pt idx="3">
                    <c:v>7/4/2024</c:v>
                  </c:pt>
                  <c:pt idx="4">
                    <c:v>7/5/2024</c:v>
                  </c:pt>
                  <c:pt idx="5">
                    <c:v>7/6/2024</c:v>
                  </c:pt>
                  <c:pt idx="6">
                    <c:v>7/7/2024</c:v>
                  </c:pt>
                  <c:pt idx="7">
                    <c:v>7/8/2024</c:v>
                  </c:pt>
                  <c:pt idx="8">
                    <c:v>7/9/2024</c:v>
                  </c:pt>
                  <c:pt idx="9">
                    <c:v>7/10/2024</c:v>
                  </c:pt>
                  <c:pt idx="10">
                    <c:v>7/11/2024</c:v>
                  </c:pt>
                  <c:pt idx="11">
                    <c:v>7/12/2024</c:v>
                  </c:pt>
                  <c:pt idx="12">
                    <c:v>7/13/2024</c:v>
                  </c:pt>
                  <c:pt idx="13">
                    <c:v>7/14/2024</c:v>
                  </c:pt>
                  <c:pt idx="14">
                    <c:v>7/15/2024</c:v>
                  </c:pt>
                  <c:pt idx="15">
                    <c:v>7/16/2024</c:v>
                  </c:pt>
                  <c:pt idx="16">
                    <c:v>7/17/2024</c:v>
                  </c:pt>
                  <c:pt idx="17">
                    <c:v>7/18/2024</c:v>
                  </c:pt>
                  <c:pt idx="18">
                    <c:v>7/19/2024</c:v>
                  </c:pt>
                  <c:pt idx="19">
                    <c:v>7/20/2024</c:v>
                  </c:pt>
                  <c:pt idx="20">
                    <c:v>7/21/2024</c:v>
                  </c:pt>
                  <c:pt idx="21">
                    <c:v>7/22/2024</c:v>
                  </c:pt>
                  <c:pt idx="22">
                    <c:v>7/23/2024</c:v>
                  </c:pt>
                  <c:pt idx="23">
                    <c:v>7/24/2024</c:v>
                  </c:pt>
                  <c:pt idx="24">
                    <c:v>7/25/2024</c:v>
                  </c:pt>
                  <c:pt idx="25">
                    <c:v>7/26/2024</c:v>
                  </c:pt>
                  <c:pt idx="26">
                    <c:v>7/27/2024</c:v>
                  </c:pt>
                  <c:pt idx="27">
                    <c:v>7/28/2024</c:v>
                  </c:pt>
                  <c:pt idx="28">
                    <c:v>7/29/2024</c:v>
                  </c:pt>
                  <c:pt idx="29">
                    <c:v>7/30/2024</c:v>
                  </c:pt>
                  <c:pt idx="30">
                    <c:v>7/31/2024</c:v>
                  </c:pt>
                </c:lvl>
                <c:lvl>
                  <c:pt idx="0">
                    <c:v>Jul</c:v>
                  </c:pt>
                </c:lvl>
              </c:multiLvlStrCache>
            </c:multiLvlStrRef>
          </c:cat>
          <c:val>
            <c:numRef>
              <c:f>'Pivot table analysis'!$N$94:$N$124</c:f>
              <c:numCache>
                <c:formatCode>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7-070C-4792-81CE-610B90EE5A41}"/>
            </c:ext>
          </c:extLst>
        </c:ser>
        <c:dLbls>
          <c:showLegendKey val="0"/>
          <c:showVal val="0"/>
          <c:showCatName val="0"/>
          <c:showSerName val="0"/>
          <c:showPercent val="0"/>
          <c:showBubbleSize val="0"/>
        </c:dLbls>
        <c:axId val="1449626591"/>
        <c:axId val="1449629951"/>
      </c:areaChart>
      <c:catAx>
        <c:axId val="1449626591"/>
        <c:scaling>
          <c:orientation val="minMax"/>
        </c:scaling>
        <c:delete val="1"/>
        <c:axPos val="b"/>
        <c:numFmt formatCode="General" sourceLinked="1"/>
        <c:majorTickMark val="out"/>
        <c:minorTickMark val="none"/>
        <c:tickLblPos val="nextTo"/>
        <c:crossAx val="1449629951"/>
        <c:crosses val="autoZero"/>
        <c:auto val="1"/>
        <c:lblAlgn val="ctr"/>
        <c:lblOffset val="100"/>
        <c:noMultiLvlLbl val="0"/>
      </c:catAx>
      <c:valAx>
        <c:axId val="1449629951"/>
        <c:scaling>
          <c:orientation val="minMax"/>
        </c:scaling>
        <c:delete val="1"/>
        <c:axPos val="l"/>
        <c:numFmt formatCode="0.0" sourceLinked="1"/>
        <c:majorTickMark val="none"/>
        <c:minorTickMark val="none"/>
        <c:tickLblPos val="nextTo"/>
        <c:crossAx val="14496265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C3B0">
              <a:alpha val="44000"/>
            </a:srgb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65470695305625E-2"/>
          <c:y val="0.10065363621167668"/>
          <c:w val="0.98843452930469433"/>
          <c:h val="0.89934636378832333"/>
        </c:manualLayout>
      </c:layout>
      <c:areaChart>
        <c:grouping val="standard"/>
        <c:varyColors val="0"/>
        <c:ser>
          <c:idx val="0"/>
          <c:order val="0"/>
          <c:tx>
            <c:strRef>
              <c:f>'Pivot table analysis'!$E$130</c:f>
              <c:strCache>
                <c:ptCount val="1"/>
                <c:pt idx="0">
                  <c:v>Total</c:v>
                </c:pt>
              </c:strCache>
            </c:strRef>
          </c:tx>
          <c:spPr>
            <a:solidFill>
              <a:srgbClr val="AEC3B0">
                <a:alpha val="44000"/>
              </a:srgbClr>
            </a:solidFill>
            <a:ln w="25400">
              <a:noFill/>
            </a:ln>
            <a:effectLst/>
          </c:spPr>
          <c:cat>
            <c:multiLvlStrRef>
              <c:f>'Pivot table analysis'!$C$131:$D$161</c:f>
              <c:multiLvlStrCache>
                <c:ptCount val="31"/>
                <c:lvl>
                  <c:pt idx="0">
                    <c:v>7/1/2024</c:v>
                  </c:pt>
                  <c:pt idx="1">
                    <c:v>7/2/2024</c:v>
                  </c:pt>
                  <c:pt idx="2">
                    <c:v>7/3/2024</c:v>
                  </c:pt>
                  <c:pt idx="3">
                    <c:v>7/4/2024</c:v>
                  </c:pt>
                  <c:pt idx="4">
                    <c:v>7/5/2024</c:v>
                  </c:pt>
                  <c:pt idx="5">
                    <c:v>7/6/2024</c:v>
                  </c:pt>
                  <c:pt idx="6">
                    <c:v>7/7/2024</c:v>
                  </c:pt>
                  <c:pt idx="7">
                    <c:v>7/8/2024</c:v>
                  </c:pt>
                  <c:pt idx="8">
                    <c:v>7/9/2024</c:v>
                  </c:pt>
                  <c:pt idx="9">
                    <c:v>7/10/2024</c:v>
                  </c:pt>
                  <c:pt idx="10">
                    <c:v>7/11/2024</c:v>
                  </c:pt>
                  <c:pt idx="11">
                    <c:v>7/12/2024</c:v>
                  </c:pt>
                  <c:pt idx="12">
                    <c:v>7/13/2024</c:v>
                  </c:pt>
                  <c:pt idx="13">
                    <c:v>7/14/2024</c:v>
                  </c:pt>
                  <c:pt idx="14">
                    <c:v>7/15/2024</c:v>
                  </c:pt>
                  <c:pt idx="15">
                    <c:v>7/16/2024</c:v>
                  </c:pt>
                  <c:pt idx="16">
                    <c:v>7/17/2024</c:v>
                  </c:pt>
                  <c:pt idx="17">
                    <c:v>7/18/2024</c:v>
                  </c:pt>
                  <c:pt idx="18">
                    <c:v>7/19/2024</c:v>
                  </c:pt>
                  <c:pt idx="19">
                    <c:v>7/20/2024</c:v>
                  </c:pt>
                  <c:pt idx="20">
                    <c:v>7/21/2024</c:v>
                  </c:pt>
                  <c:pt idx="21">
                    <c:v>7/22/2024</c:v>
                  </c:pt>
                  <c:pt idx="22">
                    <c:v>7/23/2024</c:v>
                  </c:pt>
                  <c:pt idx="23">
                    <c:v>7/24/2024</c:v>
                  </c:pt>
                  <c:pt idx="24">
                    <c:v>7/25/2024</c:v>
                  </c:pt>
                  <c:pt idx="25">
                    <c:v>7/26/2024</c:v>
                  </c:pt>
                  <c:pt idx="26">
                    <c:v>7/27/2024</c:v>
                  </c:pt>
                  <c:pt idx="27">
                    <c:v>7/28/2024</c:v>
                  </c:pt>
                  <c:pt idx="28">
                    <c:v>7/29/2024</c:v>
                  </c:pt>
                  <c:pt idx="29">
                    <c:v>7/30/2024</c:v>
                  </c:pt>
                  <c:pt idx="30">
                    <c:v>7/31/2024</c:v>
                  </c:pt>
                </c:lvl>
                <c:lvl>
                  <c:pt idx="0">
                    <c:v>Jul</c:v>
                  </c:pt>
                </c:lvl>
              </c:multiLvlStrCache>
            </c:multiLvlStrRef>
          </c:cat>
          <c:val>
            <c:numRef>
              <c:f>'Pivot table analysis'!$E$131:$E$161</c:f>
              <c:numCache>
                <c:formatCode>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7-9ECB-4486-BCC7-7B1A3B122B7A}"/>
            </c:ext>
          </c:extLst>
        </c:ser>
        <c:dLbls>
          <c:showLegendKey val="0"/>
          <c:showVal val="0"/>
          <c:showCatName val="0"/>
          <c:showSerName val="0"/>
          <c:showPercent val="0"/>
          <c:showBubbleSize val="0"/>
        </c:dLbls>
        <c:axId val="1538637279"/>
        <c:axId val="1538642559"/>
      </c:areaChart>
      <c:catAx>
        <c:axId val="1538637279"/>
        <c:scaling>
          <c:orientation val="minMax"/>
        </c:scaling>
        <c:delete val="1"/>
        <c:axPos val="b"/>
        <c:numFmt formatCode="General" sourceLinked="1"/>
        <c:majorTickMark val="out"/>
        <c:minorTickMark val="none"/>
        <c:tickLblPos val="nextTo"/>
        <c:crossAx val="1538642559"/>
        <c:crosses val="autoZero"/>
        <c:auto val="1"/>
        <c:lblAlgn val="ctr"/>
        <c:lblOffset val="100"/>
        <c:noMultiLvlLbl val="0"/>
      </c:catAx>
      <c:valAx>
        <c:axId val="1538642559"/>
        <c:scaling>
          <c:orientation val="minMax"/>
        </c:scaling>
        <c:delete val="1"/>
        <c:axPos val="l"/>
        <c:numFmt formatCode="0.0" sourceLinked="1"/>
        <c:majorTickMark val="none"/>
        <c:minorTickMark val="none"/>
        <c:tickLblPos val="nextTo"/>
        <c:crossAx val="153863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analysis!PivotTable3</c:name>
    <c:fmtId val="10"/>
  </c:pivotSource>
  <c:chart>
    <c:autoTitleDeleted val="1"/>
    <c:pivotFmts>
      <c:pivotFmt>
        <c:idx val="0"/>
        <c:spPr>
          <a:solidFill>
            <a:srgbClr val="AEC3B0">
              <a:alpha val="66000"/>
            </a:srgbClr>
          </a:solidFill>
          <a:ln>
            <a:noFill/>
          </a:ln>
          <a:effectLst>
            <a:outerShdw blurRad="50800" dist="38100" dir="5400000" algn="t" rotWithShape="0">
              <a:prstClr val="black">
                <a:alpha val="6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analysis'!$J$23</c:f>
              <c:strCache>
                <c:ptCount val="1"/>
                <c:pt idx="0">
                  <c:v>Total</c:v>
                </c:pt>
              </c:strCache>
            </c:strRef>
          </c:tx>
          <c:spPr>
            <a:solidFill>
              <a:schemeClr val="accent1"/>
            </a:solidFill>
            <a:ln w="25400">
              <a:noFill/>
            </a:ln>
            <a:effectLst/>
          </c:spPr>
          <c:cat>
            <c:multiLvlStrRef>
              <c:f>'Pivot table analysis'!$H$24:$I$54</c:f>
              <c:multiLvlStrCache>
                <c:ptCount val="31"/>
                <c:lvl>
                  <c:pt idx="0">
                    <c:v>7/1/2024</c:v>
                  </c:pt>
                  <c:pt idx="1">
                    <c:v>7/2/2024</c:v>
                  </c:pt>
                  <c:pt idx="2">
                    <c:v>7/3/2024</c:v>
                  </c:pt>
                  <c:pt idx="3">
                    <c:v>7/4/2024</c:v>
                  </c:pt>
                  <c:pt idx="4">
                    <c:v>7/5/2024</c:v>
                  </c:pt>
                  <c:pt idx="5">
                    <c:v>7/6/2024</c:v>
                  </c:pt>
                  <c:pt idx="6">
                    <c:v>7/7/2024</c:v>
                  </c:pt>
                  <c:pt idx="7">
                    <c:v>7/8/2024</c:v>
                  </c:pt>
                  <c:pt idx="8">
                    <c:v>7/9/2024</c:v>
                  </c:pt>
                  <c:pt idx="9">
                    <c:v>7/10/2024</c:v>
                  </c:pt>
                  <c:pt idx="10">
                    <c:v>7/11/2024</c:v>
                  </c:pt>
                  <c:pt idx="11">
                    <c:v>7/12/2024</c:v>
                  </c:pt>
                  <c:pt idx="12">
                    <c:v>7/13/2024</c:v>
                  </c:pt>
                  <c:pt idx="13">
                    <c:v>7/14/2024</c:v>
                  </c:pt>
                  <c:pt idx="14">
                    <c:v>7/15/2024</c:v>
                  </c:pt>
                  <c:pt idx="15">
                    <c:v>7/16/2024</c:v>
                  </c:pt>
                  <c:pt idx="16">
                    <c:v>7/17/2024</c:v>
                  </c:pt>
                  <c:pt idx="17">
                    <c:v>7/18/2024</c:v>
                  </c:pt>
                  <c:pt idx="18">
                    <c:v>7/19/2024</c:v>
                  </c:pt>
                  <c:pt idx="19">
                    <c:v>7/20/2024</c:v>
                  </c:pt>
                  <c:pt idx="20">
                    <c:v>7/21/2024</c:v>
                  </c:pt>
                  <c:pt idx="21">
                    <c:v>7/22/2024</c:v>
                  </c:pt>
                  <c:pt idx="22">
                    <c:v>7/23/2024</c:v>
                  </c:pt>
                  <c:pt idx="23">
                    <c:v>7/24/2024</c:v>
                  </c:pt>
                  <c:pt idx="24">
                    <c:v>7/25/2024</c:v>
                  </c:pt>
                  <c:pt idx="25">
                    <c:v>7/26/2024</c:v>
                  </c:pt>
                  <c:pt idx="26">
                    <c:v>7/27/2024</c:v>
                  </c:pt>
                  <c:pt idx="27">
                    <c:v>7/28/2024</c:v>
                  </c:pt>
                  <c:pt idx="28">
                    <c:v>7/29/2024</c:v>
                  </c:pt>
                  <c:pt idx="29">
                    <c:v>7/30/2024</c:v>
                  </c:pt>
                  <c:pt idx="30">
                    <c:v>7/31/2024</c:v>
                  </c:pt>
                </c:lvl>
                <c:lvl>
                  <c:pt idx="0">
                    <c:v>Jul</c:v>
                  </c:pt>
                </c:lvl>
              </c:multiLvlStrCache>
            </c:multiLvlStrRef>
          </c:cat>
          <c:val>
            <c:numRef>
              <c:f>'Pivot table analysis'!$J$24:$J$54</c:f>
              <c:numCache>
                <c:formatCode>0.0</c:formatCode>
                <c:ptCount val="31"/>
                <c:pt idx="0">
                  <c:v>28.588235294117649</c:v>
                </c:pt>
                <c:pt idx="1">
                  <c:v>42.315789473684212</c:v>
                </c:pt>
                <c:pt idx="2">
                  <c:v>37.916666666666664</c:v>
                </c:pt>
                <c:pt idx="3">
                  <c:v>40.222222222222221</c:v>
                </c:pt>
                <c:pt idx="4">
                  <c:v>24.333333333333332</c:v>
                </c:pt>
                <c:pt idx="5">
                  <c:v>42.2</c:v>
                </c:pt>
                <c:pt idx="6">
                  <c:v>48.222222222222221</c:v>
                </c:pt>
                <c:pt idx="7">
                  <c:v>49.263157894736842</c:v>
                </c:pt>
                <c:pt idx="8">
                  <c:v>41.263157894736842</c:v>
                </c:pt>
                <c:pt idx="9">
                  <c:v>44</c:v>
                </c:pt>
                <c:pt idx="10">
                  <c:v>45.333333333333336</c:v>
                </c:pt>
                <c:pt idx="11">
                  <c:v>44.84</c:v>
                </c:pt>
                <c:pt idx="12">
                  <c:v>35.210526315789473</c:v>
                </c:pt>
                <c:pt idx="13">
                  <c:v>42.333333333333336</c:v>
                </c:pt>
                <c:pt idx="14">
                  <c:v>37.642857142857146</c:v>
                </c:pt>
                <c:pt idx="15">
                  <c:v>46.45</c:v>
                </c:pt>
                <c:pt idx="16">
                  <c:v>42.5</c:v>
                </c:pt>
                <c:pt idx="17">
                  <c:v>35.428571428571431</c:v>
                </c:pt>
                <c:pt idx="18">
                  <c:v>30.294117647058822</c:v>
                </c:pt>
                <c:pt idx="19">
                  <c:v>33.375</c:v>
                </c:pt>
                <c:pt idx="20">
                  <c:v>37.833333333333336</c:v>
                </c:pt>
                <c:pt idx="21">
                  <c:v>47.875</c:v>
                </c:pt>
                <c:pt idx="22">
                  <c:v>34.647058823529413</c:v>
                </c:pt>
                <c:pt idx="23">
                  <c:v>50.727272727272727</c:v>
                </c:pt>
                <c:pt idx="24">
                  <c:v>41.333333333333336</c:v>
                </c:pt>
                <c:pt idx="25">
                  <c:v>47.769230769230766</c:v>
                </c:pt>
                <c:pt idx="26">
                  <c:v>41.823529411764703</c:v>
                </c:pt>
                <c:pt idx="27">
                  <c:v>42.45</c:v>
                </c:pt>
                <c:pt idx="28">
                  <c:v>37.700000000000003</c:v>
                </c:pt>
                <c:pt idx="29">
                  <c:v>42.153846153846153</c:v>
                </c:pt>
                <c:pt idx="30">
                  <c:v>43.6875</c:v>
                </c:pt>
              </c:numCache>
            </c:numRef>
          </c:val>
          <c:extLst>
            <c:ext xmlns:c16="http://schemas.microsoft.com/office/drawing/2014/chart" uri="{C3380CC4-5D6E-409C-BE32-E72D297353CC}">
              <c16:uniqueId val="{00000007-C036-4F5E-8643-16EF95BFE6F8}"/>
            </c:ext>
          </c:extLst>
        </c:ser>
        <c:dLbls>
          <c:showLegendKey val="0"/>
          <c:showVal val="0"/>
          <c:showCatName val="0"/>
          <c:showSerName val="0"/>
          <c:showPercent val="0"/>
          <c:showBubbleSize val="0"/>
        </c:dLbls>
        <c:axId val="786254319"/>
        <c:axId val="786270159"/>
      </c:areaChart>
      <c:catAx>
        <c:axId val="786254319"/>
        <c:scaling>
          <c:orientation val="minMax"/>
        </c:scaling>
        <c:delete val="1"/>
        <c:axPos val="b"/>
        <c:numFmt formatCode="General" sourceLinked="1"/>
        <c:majorTickMark val="out"/>
        <c:minorTickMark val="none"/>
        <c:tickLblPos val="nextTo"/>
        <c:crossAx val="786270159"/>
        <c:crosses val="autoZero"/>
        <c:auto val="1"/>
        <c:lblAlgn val="ctr"/>
        <c:lblOffset val="100"/>
        <c:noMultiLvlLbl val="0"/>
      </c:catAx>
      <c:valAx>
        <c:axId val="786270159"/>
        <c:scaling>
          <c:orientation val="minMax"/>
        </c:scaling>
        <c:delete val="1"/>
        <c:axPos val="l"/>
        <c:numFmt formatCode="0.0" sourceLinked="1"/>
        <c:majorTickMark val="none"/>
        <c:minorTickMark val="none"/>
        <c:tickLblPos val="nextTo"/>
        <c:crossAx val="786254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F6E0">
              <a:alpha val="44000"/>
            </a:srgbClr>
          </a:solidFill>
          <a:ln>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FF6E0">
              <a:alpha val="44000"/>
            </a:srgbClr>
          </a:solidFill>
          <a:ln>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C3B0">
              <a:alpha val="44000"/>
            </a:srgbClr>
          </a:solidFill>
          <a:ln w="25400">
            <a:noFill/>
          </a:ln>
          <a:effectLst>
            <a:innerShdw blurRad="63500" dist="50800" dir="16200000">
              <a:srgbClr val="598392">
                <a:alpha val="68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27343581110256E-2"/>
          <c:y val="5.0890067724823358E-2"/>
          <c:w val="0.98037265641888971"/>
          <c:h val="0.93893128970708473"/>
        </c:manualLayout>
      </c:layout>
      <c:areaChart>
        <c:grouping val="standard"/>
        <c:varyColors val="0"/>
        <c:ser>
          <c:idx val="0"/>
          <c:order val="0"/>
          <c:tx>
            <c:strRef>
              <c:f>'Pivot table analysis'!$F$23</c:f>
              <c:strCache>
                <c:ptCount val="1"/>
                <c:pt idx="0">
                  <c:v>Total</c:v>
                </c:pt>
              </c:strCache>
            </c:strRef>
          </c:tx>
          <c:spPr>
            <a:solidFill>
              <a:srgbClr val="AEC3B0">
                <a:alpha val="44000"/>
              </a:srgbClr>
            </a:solidFill>
            <a:ln w="25400">
              <a:noFill/>
            </a:ln>
            <a:effectLst>
              <a:innerShdw blurRad="63500" dist="50800" dir="16200000">
                <a:srgbClr val="598392">
                  <a:alpha val="68000"/>
                </a:srgbClr>
              </a:innerShdw>
            </a:effectLst>
          </c:spPr>
          <c:cat>
            <c:multiLvlStrRef>
              <c:f>'Pivot table analysis'!$D$24:$E$54</c:f>
              <c:multiLvlStrCache>
                <c:ptCount val="31"/>
                <c:lvl>
                  <c:pt idx="0">
                    <c:v>7/1/2024</c:v>
                  </c:pt>
                  <c:pt idx="1">
                    <c:v>7/2/2024</c:v>
                  </c:pt>
                  <c:pt idx="2">
                    <c:v>7/3/2024</c:v>
                  </c:pt>
                  <c:pt idx="3">
                    <c:v>7/4/2024</c:v>
                  </c:pt>
                  <c:pt idx="4">
                    <c:v>7/5/2024</c:v>
                  </c:pt>
                  <c:pt idx="5">
                    <c:v>7/6/2024</c:v>
                  </c:pt>
                  <c:pt idx="6">
                    <c:v>7/7/2024</c:v>
                  </c:pt>
                  <c:pt idx="7">
                    <c:v>7/8/2024</c:v>
                  </c:pt>
                  <c:pt idx="8">
                    <c:v>7/9/2024</c:v>
                  </c:pt>
                  <c:pt idx="9">
                    <c:v>7/10/2024</c:v>
                  </c:pt>
                  <c:pt idx="10">
                    <c:v>7/11/2024</c:v>
                  </c:pt>
                  <c:pt idx="11">
                    <c:v>7/12/2024</c:v>
                  </c:pt>
                  <c:pt idx="12">
                    <c:v>7/13/2024</c:v>
                  </c:pt>
                  <c:pt idx="13">
                    <c:v>7/14/2024</c:v>
                  </c:pt>
                  <c:pt idx="14">
                    <c:v>7/15/2024</c:v>
                  </c:pt>
                  <c:pt idx="15">
                    <c:v>7/16/2024</c:v>
                  </c:pt>
                  <c:pt idx="16">
                    <c:v>7/17/2024</c:v>
                  </c:pt>
                  <c:pt idx="17">
                    <c:v>7/18/2024</c:v>
                  </c:pt>
                  <c:pt idx="18">
                    <c:v>7/19/2024</c:v>
                  </c:pt>
                  <c:pt idx="19">
                    <c:v>7/20/2024</c:v>
                  </c:pt>
                  <c:pt idx="20">
                    <c:v>7/21/2024</c:v>
                  </c:pt>
                  <c:pt idx="21">
                    <c:v>7/22/2024</c:v>
                  </c:pt>
                  <c:pt idx="22">
                    <c:v>7/23/2024</c:v>
                  </c:pt>
                  <c:pt idx="23">
                    <c:v>7/24/2024</c:v>
                  </c:pt>
                  <c:pt idx="24">
                    <c:v>7/25/2024</c:v>
                  </c:pt>
                  <c:pt idx="25">
                    <c:v>7/26/2024</c:v>
                  </c:pt>
                  <c:pt idx="26">
                    <c:v>7/27/2024</c:v>
                  </c:pt>
                  <c:pt idx="27">
                    <c:v>7/28/2024</c:v>
                  </c:pt>
                  <c:pt idx="28">
                    <c:v>7/29/2024</c:v>
                  </c:pt>
                  <c:pt idx="29">
                    <c:v>7/30/2024</c:v>
                  </c:pt>
                  <c:pt idx="30">
                    <c:v>7/31/2024</c:v>
                  </c:pt>
                </c:lvl>
                <c:lvl>
                  <c:pt idx="0">
                    <c:v>Jul</c:v>
                  </c:pt>
                </c:lvl>
              </c:multiLvlStrCache>
            </c:multiLvlStrRef>
          </c:cat>
          <c:val>
            <c:numRef>
              <c:f>'Pivot table analysis'!$F$24:$F$54</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6-35BC-4654-8BC9-735B22488F42}"/>
            </c:ext>
          </c:extLst>
        </c:ser>
        <c:dLbls>
          <c:showLegendKey val="0"/>
          <c:showVal val="0"/>
          <c:showCatName val="0"/>
          <c:showSerName val="0"/>
          <c:showPercent val="0"/>
          <c:showBubbleSize val="0"/>
        </c:dLbls>
        <c:axId val="592759647"/>
        <c:axId val="592746687"/>
      </c:areaChart>
      <c:catAx>
        <c:axId val="592759647"/>
        <c:scaling>
          <c:orientation val="minMax"/>
        </c:scaling>
        <c:delete val="1"/>
        <c:axPos val="b"/>
        <c:numFmt formatCode="General" sourceLinked="1"/>
        <c:majorTickMark val="none"/>
        <c:minorTickMark val="none"/>
        <c:tickLblPos val="nextTo"/>
        <c:crossAx val="592746687"/>
        <c:crosses val="autoZero"/>
        <c:auto val="1"/>
        <c:lblAlgn val="ctr"/>
        <c:lblOffset val="100"/>
        <c:noMultiLvlLbl val="0"/>
      </c:catAx>
      <c:valAx>
        <c:axId val="592746687"/>
        <c:scaling>
          <c:orientation val="minMax"/>
        </c:scaling>
        <c:delete val="1"/>
        <c:axPos val="l"/>
        <c:numFmt formatCode="General" sourceLinked="1"/>
        <c:majorTickMark val="none"/>
        <c:minorTickMark val="none"/>
        <c:tickLblPos val="nextTo"/>
        <c:crossAx val="59275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s>
    <c:plotArea>
      <c:layout/>
      <c:doughnutChart>
        <c:varyColors val="1"/>
        <c:ser>
          <c:idx val="0"/>
          <c:order val="0"/>
          <c:tx>
            <c:strRef>
              <c:f>'Pivot table analysis'!$L$8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2-C4A2-45BF-98E7-C146209E04F0}"/>
              </c:ext>
            </c:extLst>
          </c:dPt>
          <c:dPt>
            <c:idx val="1"/>
            <c:bubble3D val="0"/>
            <c:spPr>
              <a:solidFill>
                <a:schemeClr val="accent2"/>
              </a:solidFill>
              <a:ln w="19050">
                <a:noFill/>
              </a:ln>
              <a:effectLst/>
            </c:spPr>
            <c:extLst>
              <c:ext xmlns:c16="http://schemas.microsoft.com/office/drawing/2014/chart" uri="{C3380CC4-5D6E-409C-BE32-E72D297353CC}">
                <c16:uniqueId val="{00000003-C4A2-45BF-98E7-C146209E04F0}"/>
              </c:ext>
            </c:extLst>
          </c:dPt>
          <c:dLbls>
            <c:dLbl>
              <c:idx val="0"/>
              <c:layout>
                <c:manualLayout>
                  <c:x val="0.10256410256410244"/>
                  <c:y val="-0.1193139167940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4A2-45BF-98E7-C146209E04F0}"/>
                </c:ext>
              </c:extLst>
            </c:dLbl>
            <c:dLbl>
              <c:idx val="1"/>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 xmlns:c16="http://schemas.microsoft.com/office/drawing/2014/chart" uri="{C3380CC4-5D6E-409C-BE32-E72D297353CC}">
                  <c16:uniqueId val="{00000003-C4A2-45BF-98E7-C146209E04F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analysis'!$K$9:$K$10</c:f>
              <c:strCache>
                <c:ptCount val="2"/>
                <c:pt idx="0">
                  <c:v>Female</c:v>
                </c:pt>
                <c:pt idx="1">
                  <c:v>Male</c:v>
                </c:pt>
              </c:strCache>
            </c:strRef>
          </c:cat>
          <c:val>
            <c:numRef>
              <c:f>'Pivot table analysis'!$L$9:$L$10</c:f>
              <c:numCache>
                <c:formatCode>0</c:formatCode>
                <c:ptCount val="2"/>
                <c:pt idx="0">
                  <c:v>460</c:v>
                </c:pt>
                <c:pt idx="1">
                  <c:v>492</c:v>
                </c:pt>
              </c:numCache>
            </c:numRef>
          </c:val>
          <c:extLst>
            <c:ext xmlns:c16="http://schemas.microsoft.com/office/drawing/2014/chart" uri="{C3380CC4-5D6E-409C-BE32-E72D297353CC}">
              <c16:uniqueId val="{00000000-C4A2-45BF-98E7-C146209E04F0}"/>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analysis!PivotTable4</c:name>
    <c:fmtId val="28"/>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Gender</a:t>
            </a:r>
            <a:r>
              <a:rPr lang="en-US" sz="1600" baseline="0">
                <a:solidFill>
                  <a:schemeClr val="tx1"/>
                </a:solidFill>
              </a:rPr>
              <a:t> Wise Patient</a:t>
            </a:r>
            <a:endParaRPr lang="en-US" sz="1600">
              <a:solidFill>
                <a:schemeClr val="tx1"/>
              </a:solidFill>
            </a:endParaRPr>
          </a:p>
        </c:rich>
      </c:tx>
      <c:layout>
        <c:manualLayout>
          <c:xMode val="edge"/>
          <c:yMode val="edge"/>
          <c:x val="0.26506756400402215"/>
          <c:y val="3.579417503821333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AEC3B0"/>
          </a:solidFill>
          <a:ln w="19050">
            <a:noFill/>
          </a:ln>
          <a:effectLst/>
        </c:spPr>
        <c:dLbl>
          <c:idx val="0"/>
          <c:layout>
            <c:manualLayout>
              <c:x val="0.10256410256410244"/>
              <c:y val="-0.119313916794044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598392"/>
          </a:solidFill>
          <a:ln w="19050">
            <a:noFill/>
          </a:ln>
          <a:effectLst/>
        </c:spPr>
        <c:dLbl>
          <c:idx val="0"/>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Lst>
        </c:dLbl>
      </c:pivotFmt>
    </c:pivotFmts>
    <c:plotArea>
      <c:layout>
        <c:manualLayout>
          <c:layoutTarget val="inner"/>
          <c:xMode val="edge"/>
          <c:yMode val="edge"/>
          <c:x val="0.27082059852655221"/>
          <c:y val="0.22805727819589841"/>
          <c:w val="0.33050141491448692"/>
          <c:h val="0.71825145924678158"/>
        </c:manualLayout>
      </c:layout>
      <c:doughnutChart>
        <c:varyColors val="1"/>
        <c:ser>
          <c:idx val="0"/>
          <c:order val="0"/>
          <c:tx>
            <c:strRef>
              <c:f>'Pivot table analysis'!$L$8</c:f>
              <c:strCache>
                <c:ptCount val="1"/>
                <c:pt idx="0">
                  <c:v>Total</c:v>
                </c:pt>
              </c:strCache>
            </c:strRef>
          </c:tx>
          <c:spPr>
            <a:solidFill>
              <a:schemeClr val="accent1"/>
            </a:solidFill>
            <a:ln>
              <a:noFill/>
            </a:ln>
          </c:spPr>
          <c:dPt>
            <c:idx val="0"/>
            <c:bubble3D val="0"/>
            <c:spPr>
              <a:solidFill>
                <a:srgbClr val="AEC3B0"/>
              </a:solidFill>
              <a:ln w="19050">
                <a:noFill/>
              </a:ln>
              <a:effectLst/>
            </c:spPr>
            <c:extLst>
              <c:ext xmlns:c16="http://schemas.microsoft.com/office/drawing/2014/chart" uri="{C3380CC4-5D6E-409C-BE32-E72D297353CC}">
                <c16:uniqueId val="{00000001-D64E-4E0B-8089-776879CEA431}"/>
              </c:ext>
            </c:extLst>
          </c:dPt>
          <c:dPt>
            <c:idx val="1"/>
            <c:bubble3D val="0"/>
            <c:spPr>
              <a:solidFill>
                <a:srgbClr val="598392"/>
              </a:solidFill>
              <a:ln w="19050">
                <a:noFill/>
              </a:ln>
              <a:effectLst/>
            </c:spPr>
            <c:extLst>
              <c:ext xmlns:c16="http://schemas.microsoft.com/office/drawing/2014/chart" uri="{C3380CC4-5D6E-409C-BE32-E72D297353CC}">
                <c16:uniqueId val="{00000003-D64E-4E0B-8089-776879CEA431}"/>
              </c:ext>
            </c:extLst>
          </c:dPt>
          <c:dLbls>
            <c:dLbl>
              <c:idx val="0"/>
              <c:layout>
                <c:manualLayout>
                  <c:x val="0.10256410256410244"/>
                  <c:y val="-0.1193139167940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4E-4E0B-8089-776879CEA431}"/>
                </c:ext>
              </c:extLst>
            </c:dLbl>
            <c:dLbl>
              <c:idx val="1"/>
              <c:layout>
                <c:manualLayout>
                  <c:x val="-0.12649572649572649"/>
                  <c:y val="9.5451133435235563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430984588465"/>
                      <c:h val="0.1072932745469594"/>
                    </c:manualLayout>
                  </c15:layout>
                </c:ext>
                <c:ext xmlns:c16="http://schemas.microsoft.com/office/drawing/2014/chart" uri="{C3380CC4-5D6E-409C-BE32-E72D297353CC}">
                  <c16:uniqueId val="{00000003-D64E-4E0B-8089-776879CEA43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19050" cap="flat" cmpd="sng" algn="ctr">
                  <a:solidFill>
                    <a:srgbClr val="EFF6E0">
                      <a:alpha val="66000"/>
                    </a:srgbClr>
                  </a:solidFill>
                  <a:round/>
                </a:ln>
                <a:effectLst/>
              </c:spPr>
            </c:leaderLines>
            <c:extLst>
              <c:ext xmlns:c15="http://schemas.microsoft.com/office/drawing/2012/chart" uri="{CE6537A1-D6FC-4f65-9D91-7224C49458BB}"/>
            </c:extLst>
          </c:dLbls>
          <c:cat>
            <c:strRef>
              <c:f>'Pivot table analysis'!$K$9:$K$10</c:f>
              <c:strCache>
                <c:ptCount val="2"/>
                <c:pt idx="0">
                  <c:v>Female</c:v>
                </c:pt>
                <c:pt idx="1">
                  <c:v>Male</c:v>
                </c:pt>
              </c:strCache>
            </c:strRef>
          </c:cat>
          <c:val>
            <c:numRef>
              <c:f>'Pivot table analysis'!$L$9:$L$10</c:f>
              <c:numCache>
                <c:formatCode>0</c:formatCode>
                <c:ptCount val="2"/>
                <c:pt idx="0">
                  <c:v>460</c:v>
                </c:pt>
                <c:pt idx="1">
                  <c:v>492</c:v>
                </c:pt>
              </c:numCache>
            </c:numRef>
          </c:val>
          <c:extLst>
            <c:ext xmlns:c16="http://schemas.microsoft.com/office/drawing/2014/chart" uri="{C3380CC4-5D6E-409C-BE32-E72D297353CC}">
              <c16:uniqueId val="{00000004-D64E-4E0B-8089-776879CEA431}"/>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EFEF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analysis'!$M$63:$M$69</c:f>
              <c:numCache>
                <c:formatCode>General</c:formatCode>
                <c:ptCount val="7"/>
                <c:pt idx="0">
                  <c:v>40</c:v>
                </c:pt>
                <c:pt idx="1">
                  <c:v>133</c:v>
                </c:pt>
                <c:pt idx="2">
                  <c:v>185</c:v>
                </c:pt>
                <c:pt idx="3">
                  <c:v>163</c:v>
                </c:pt>
                <c:pt idx="4">
                  <c:v>205</c:v>
                </c:pt>
                <c:pt idx="5">
                  <c:v>100</c:v>
                </c:pt>
                <c:pt idx="6">
                  <c:v>126</c:v>
                </c:pt>
              </c:numCache>
            </c:numRef>
          </c:val>
          <c:extLst>
            <c:ext xmlns:c16="http://schemas.microsoft.com/office/drawing/2014/chart" uri="{C3380CC4-5D6E-409C-BE32-E72D297353CC}">
              <c16:uniqueId val="{00000000-4CB3-4009-8A72-095690710129}"/>
            </c:ext>
          </c:extLst>
        </c:ser>
        <c:ser>
          <c:idx val="1"/>
          <c:order val="1"/>
          <c:spPr>
            <a:solidFill>
              <a:srgbClr val="AEC3B0"/>
            </a:solidFill>
            <a:ln>
              <a:noFill/>
            </a:ln>
            <a:effectLst/>
          </c:spPr>
          <c:invertIfNegative val="0"/>
          <c:dLbls>
            <c:delete val="1"/>
          </c:dLbls>
          <c:cat>
            <c:strRef>
              <c:f>'Pivot table analysis'!$L$63:$L$69</c:f>
              <c:strCache>
                <c:ptCount val="7"/>
                <c:pt idx="0">
                  <c:v>0-4</c:v>
                </c:pt>
                <c:pt idx="1">
                  <c:v>05-14</c:v>
                </c:pt>
                <c:pt idx="2">
                  <c:v>15-29</c:v>
                </c:pt>
                <c:pt idx="3">
                  <c:v>30-44</c:v>
                </c:pt>
                <c:pt idx="4">
                  <c:v>45-59</c:v>
                </c:pt>
                <c:pt idx="5">
                  <c:v>60-69</c:v>
                </c:pt>
                <c:pt idx="6">
                  <c:v>70-79</c:v>
                </c:pt>
              </c:strCache>
            </c:strRef>
          </c:cat>
          <c:val>
            <c:numRef>
              <c:f>'Pivot table analysis'!$N$63:$N$69</c:f>
              <c:numCache>
                <c:formatCode>General</c:formatCode>
                <c:ptCount val="7"/>
                <c:pt idx="0">
                  <c:v>0</c:v>
                </c:pt>
                <c:pt idx="1">
                  <c:v>0</c:v>
                </c:pt>
                <c:pt idx="2">
                  <c:v>0</c:v>
                </c:pt>
                <c:pt idx="3">
                  <c:v>0</c:v>
                </c:pt>
                <c:pt idx="4">
                  <c:v>205</c:v>
                </c:pt>
                <c:pt idx="5">
                  <c:v>0</c:v>
                </c:pt>
                <c:pt idx="6">
                  <c:v>0</c:v>
                </c:pt>
              </c:numCache>
            </c:numRef>
          </c:val>
          <c:extLst>
            <c:ext xmlns:c16="http://schemas.microsoft.com/office/drawing/2014/chart" uri="{C3380CC4-5D6E-409C-BE32-E72D297353CC}">
              <c16:uniqueId val="{00000001-4CB3-4009-8A72-095690710129}"/>
            </c:ext>
          </c:extLst>
        </c:ser>
        <c:dLbls>
          <c:dLblPos val="outEnd"/>
          <c:showLegendKey val="0"/>
          <c:showVal val="1"/>
          <c:showCatName val="0"/>
          <c:showSerName val="0"/>
          <c:showPercent val="0"/>
          <c:showBubbleSize val="0"/>
        </c:dLbls>
        <c:gapWidth val="59"/>
        <c:overlap val="100"/>
        <c:axId val="333498239"/>
        <c:axId val="333476159"/>
      </c:barChart>
      <c:catAx>
        <c:axId val="33349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33476159"/>
        <c:crosses val="autoZero"/>
        <c:auto val="1"/>
        <c:lblAlgn val="ctr"/>
        <c:lblOffset val="100"/>
        <c:noMultiLvlLbl val="0"/>
      </c:catAx>
      <c:valAx>
        <c:axId val="333476159"/>
        <c:scaling>
          <c:orientation val="minMax"/>
        </c:scaling>
        <c:delete val="1"/>
        <c:axPos val="l"/>
        <c:numFmt formatCode="General" sourceLinked="1"/>
        <c:majorTickMark val="none"/>
        <c:minorTickMark val="none"/>
        <c:tickLblPos val="nextTo"/>
        <c:crossAx val="333498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 analysis!PivotTable7</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94892229180505"/>
          <c:y val="0.21698855351414403"/>
          <c:w val="0.65012326095621398"/>
          <c:h val="0.68524168853893264"/>
        </c:manualLayout>
      </c:layout>
      <c:barChart>
        <c:barDir val="bar"/>
        <c:grouping val="clustered"/>
        <c:varyColors val="0"/>
        <c:ser>
          <c:idx val="0"/>
          <c:order val="0"/>
          <c:tx>
            <c:strRef>
              <c:f>'Pivot table analysis'!$E$91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analysis'!$D$92:$D$99</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table analysis'!$E$92:$E$99</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6CB4-4F38-850C-24C61E63957D}"/>
            </c:ext>
          </c:extLst>
        </c:ser>
        <c:dLbls>
          <c:dLblPos val="outEnd"/>
          <c:showLegendKey val="0"/>
          <c:showVal val="1"/>
          <c:showCatName val="0"/>
          <c:showSerName val="0"/>
          <c:showPercent val="0"/>
          <c:showBubbleSize val="0"/>
        </c:dLbls>
        <c:gapWidth val="48"/>
        <c:overlap val="100"/>
        <c:axId val="1676064416"/>
        <c:axId val="1676046176"/>
      </c:barChart>
      <c:catAx>
        <c:axId val="167606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46176"/>
        <c:crosses val="autoZero"/>
        <c:auto val="1"/>
        <c:lblAlgn val="ctr"/>
        <c:lblOffset val="100"/>
        <c:noMultiLvlLbl val="0"/>
      </c:catAx>
      <c:valAx>
        <c:axId val="1676046176"/>
        <c:scaling>
          <c:orientation val="minMax"/>
        </c:scaling>
        <c:delete val="1"/>
        <c:axPos val="b"/>
        <c:numFmt formatCode="0" sourceLinked="1"/>
        <c:majorTickMark val="none"/>
        <c:minorTickMark val="none"/>
        <c:tickLblPos val="nextTo"/>
        <c:crossAx val="167606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2.emf"/><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image" Target="../media/image1.png"/><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5" Type="http://schemas.openxmlformats.org/officeDocument/2006/relationships/image" Target="../media/image7.svg"/><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492578</xdr:colOff>
      <xdr:row>2</xdr:row>
      <xdr:rowOff>50344</xdr:rowOff>
    </xdr:from>
    <xdr:to>
      <xdr:col>31</xdr:col>
      <xdr:colOff>65315</xdr:colOff>
      <xdr:row>43</xdr:row>
      <xdr:rowOff>0</xdr:rowOff>
    </xdr:to>
    <xdr:sp macro="" textlink="">
      <xdr:nvSpPr>
        <xdr:cNvPr id="2" name="Rectangle: Rounded Corners 1">
          <a:extLst>
            <a:ext uri="{FF2B5EF4-FFF2-40B4-BE49-F238E27FC236}">
              <a16:creationId xmlns:a16="http://schemas.microsoft.com/office/drawing/2014/main" id="{1475F0F2-88F3-280F-08E2-E6350138CF4C}"/>
            </a:ext>
          </a:extLst>
        </xdr:cNvPr>
        <xdr:cNvSpPr/>
      </xdr:nvSpPr>
      <xdr:spPr>
        <a:xfrm>
          <a:off x="1711778" y="420458"/>
          <a:ext cx="17251137" cy="7536999"/>
        </a:xfrm>
        <a:prstGeom prst="roundRect">
          <a:avLst>
            <a:gd name="adj" fmla="val 1897"/>
          </a:avLst>
        </a:prstGeom>
        <a:solidFill>
          <a:srgbClr val="EFEF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492579</xdr:colOff>
      <xdr:row>7</xdr:row>
      <xdr:rowOff>54429</xdr:rowOff>
    </xdr:from>
    <xdr:to>
      <xdr:col>5</xdr:col>
      <xdr:colOff>25854</xdr:colOff>
      <xdr:row>43</xdr:row>
      <xdr:rowOff>10886</xdr:rowOff>
    </xdr:to>
    <xdr:sp macro="" textlink="">
      <xdr:nvSpPr>
        <xdr:cNvPr id="3" name="Rectangle: Rounded Corners 2">
          <a:extLst>
            <a:ext uri="{FF2B5EF4-FFF2-40B4-BE49-F238E27FC236}">
              <a16:creationId xmlns:a16="http://schemas.microsoft.com/office/drawing/2014/main" id="{D8C9CFA8-1528-E62E-4149-F88EA35BE401}"/>
            </a:ext>
          </a:extLst>
        </xdr:cNvPr>
        <xdr:cNvSpPr/>
      </xdr:nvSpPr>
      <xdr:spPr>
        <a:xfrm>
          <a:off x="1711779" y="1349829"/>
          <a:ext cx="1362075" cy="6618514"/>
        </a:xfrm>
        <a:prstGeom prst="roundRect">
          <a:avLst>
            <a:gd name="adj" fmla="val 6463"/>
          </a:avLst>
        </a:prstGeom>
        <a:solidFill>
          <a:srgbClr val="0116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544286</xdr:colOff>
      <xdr:row>18</xdr:row>
      <xdr:rowOff>5441</xdr:rowOff>
    </xdr:from>
    <xdr:to>
      <xdr:col>4</xdr:col>
      <xdr:colOff>576942</xdr:colOff>
      <xdr:row>37</xdr:row>
      <xdr:rowOff>119743</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F5989113-9799-4FBC-8345-C758C350E8E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763486" y="3336470"/>
              <a:ext cx="1251856" cy="3630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500744</xdr:colOff>
      <xdr:row>2</xdr:row>
      <xdr:rowOff>54430</xdr:rowOff>
    </xdr:from>
    <xdr:to>
      <xdr:col>31</xdr:col>
      <xdr:colOff>43543</xdr:colOff>
      <xdr:row>7</xdr:row>
      <xdr:rowOff>43543</xdr:rowOff>
    </xdr:to>
    <xdr:sp macro="" textlink="">
      <xdr:nvSpPr>
        <xdr:cNvPr id="5" name="Rectangle: Rounded Corners 4">
          <a:extLst>
            <a:ext uri="{FF2B5EF4-FFF2-40B4-BE49-F238E27FC236}">
              <a16:creationId xmlns:a16="http://schemas.microsoft.com/office/drawing/2014/main" id="{20AF52B6-5FA4-44B7-8BD0-EBBFD42A4615}"/>
            </a:ext>
          </a:extLst>
        </xdr:cNvPr>
        <xdr:cNvSpPr/>
      </xdr:nvSpPr>
      <xdr:spPr>
        <a:xfrm>
          <a:off x="1719944" y="424544"/>
          <a:ext cx="17221199" cy="914399"/>
        </a:xfrm>
        <a:prstGeom prst="roundRect">
          <a:avLst>
            <a:gd name="adj" fmla="val 64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141514</xdr:colOff>
      <xdr:row>8</xdr:row>
      <xdr:rowOff>21771</xdr:rowOff>
    </xdr:from>
    <xdr:to>
      <xdr:col>11</xdr:col>
      <xdr:colOff>348343</xdr:colOff>
      <xdr:row>16</xdr:row>
      <xdr:rowOff>54430</xdr:rowOff>
    </xdr:to>
    <xdr:sp macro="" textlink="">
      <xdr:nvSpPr>
        <xdr:cNvPr id="6" name="Rectangle: Rounded Corners 5">
          <a:extLst>
            <a:ext uri="{FF2B5EF4-FFF2-40B4-BE49-F238E27FC236}">
              <a16:creationId xmlns:a16="http://schemas.microsoft.com/office/drawing/2014/main" id="{0E6BD612-A02B-45D9-AEB6-B72936662F36}"/>
            </a:ext>
          </a:extLst>
        </xdr:cNvPr>
        <xdr:cNvSpPr/>
      </xdr:nvSpPr>
      <xdr:spPr>
        <a:xfrm>
          <a:off x="3189514" y="1502228"/>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431800</xdr:colOff>
      <xdr:row>8</xdr:row>
      <xdr:rowOff>21771</xdr:rowOff>
    </xdr:from>
    <xdr:to>
      <xdr:col>18</xdr:col>
      <xdr:colOff>29029</xdr:colOff>
      <xdr:row>16</xdr:row>
      <xdr:rowOff>54430</xdr:rowOff>
    </xdr:to>
    <xdr:sp macro="" textlink="">
      <xdr:nvSpPr>
        <xdr:cNvPr id="14" name="Rectangle: Rounded Corners 13">
          <a:extLst>
            <a:ext uri="{FF2B5EF4-FFF2-40B4-BE49-F238E27FC236}">
              <a16:creationId xmlns:a16="http://schemas.microsoft.com/office/drawing/2014/main" id="{D4903B4A-2894-64D4-E3A3-9EE9ED16048C}"/>
            </a:ext>
          </a:extLst>
        </xdr:cNvPr>
        <xdr:cNvSpPr/>
      </xdr:nvSpPr>
      <xdr:spPr>
        <a:xfrm>
          <a:off x="7137400" y="1502228"/>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112486</xdr:colOff>
      <xdr:row>7</xdr:row>
      <xdr:rowOff>185056</xdr:rowOff>
    </xdr:from>
    <xdr:to>
      <xdr:col>24</xdr:col>
      <xdr:colOff>319315</xdr:colOff>
      <xdr:row>16</xdr:row>
      <xdr:rowOff>32658</xdr:rowOff>
    </xdr:to>
    <xdr:sp macro="" textlink="">
      <xdr:nvSpPr>
        <xdr:cNvPr id="15" name="Rectangle: Rounded Corners 14">
          <a:extLst>
            <a:ext uri="{FF2B5EF4-FFF2-40B4-BE49-F238E27FC236}">
              <a16:creationId xmlns:a16="http://schemas.microsoft.com/office/drawing/2014/main" id="{842D52CB-9673-43C9-488B-6319AC414603}"/>
            </a:ext>
          </a:extLst>
        </xdr:cNvPr>
        <xdr:cNvSpPr/>
      </xdr:nvSpPr>
      <xdr:spPr>
        <a:xfrm>
          <a:off x="11085286" y="1480456"/>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402773</xdr:colOff>
      <xdr:row>8</xdr:row>
      <xdr:rowOff>0</xdr:rowOff>
    </xdr:from>
    <xdr:to>
      <xdr:col>31</xdr:col>
      <xdr:colOff>2</xdr:colOff>
      <xdr:row>16</xdr:row>
      <xdr:rowOff>32659</xdr:rowOff>
    </xdr:to>
    <xdr:sp macro="" textlink="">
      <xdr:nvSpPr>
        <xdr:cNvPr id="16" name="Rectangle: Rounded Corners 15">
          <a:extLst>
            <a:ext uri="{FF2B5EF4-FFF2-40B4-BE49-F238E27FC236}">
              <a16:creationId xmlns:a16="http://schemas.microsoft.com/office/drawing/2014/main" id="{3743EEBE-464E-6D91-4674-9AC5F28721FB}"/>
            </a:ext>
          </a:extLst>
        </xdr:cNvPr>
        <xdr:cNvSpPr/>
      </xdr:nvSpPr>
      <xdr:spPr>
        <a:xfrm>
          <a:off x="15033173" y="1480457"/>
          <a:ext cx="3864429" cy="1513116"/>
        </a:xfrm>
        <a:prstGeom prst="roundRect">
          <a:avLst>
            <a:gd name="adj" fmla="val 6463"/>
          </a:avLst>
        </a:prstGeom>
        <a:solidFill>
          <a:srgbClr val="124559"/>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283028</xdr:colOff>
      <xdr:row>8</xdr:row>
      <xdr:rowOff>54428</xdr:rowOff>
    </xdr:from>
    <xdr:to>
      <xdr:col>9</xdr:col>
      <xdr:colOff>544286</xdr:colOff>
      <xdr:row>11</xdr:row>
      <xdr:rowOff>65313</xdr:rowOff>
    </xdr:to>
    <xdr:sp macro="" textlink="'Pivot table analysis'!D13">
      <xdr:nvSpPr>
        <xdr:cNvPr id="20" name="TextBox 19">
          <a:extLst>
            <a:ext uri="{FF2B5EF4-FFF2-40B4-BE49-F238E27FC236}">
              <a16:creationId xmlns:a16="http://schemas.microsoft.com/office/drawing/2014/main" id="{6DE21A90-9BE3-369F-C08F-7AC2DADA2D3D}"/>
            </a:ext>
          </a:extLst>
        </xdr:cNvPr>
        <xdr:cNvSpPr txBox="1"/>
      </xdr:nvSpPr>
      <xdr:spPr>
        <a:xfrm>
          <a:off x="4550228" y="1534885"/>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FE1A3-F868-403D-901F-D116251071BD}" type="TxLink">
            <a:rPr lang="en-US" sz="2800" b="1" i="0" u="none" strike="noStrike">
              <a:solidFill>
                <a:schemeClr val="bg1"/>
              </a:solidFill>
              <a:latin typeface="Aptos Narrow"/>
            </a:rPr>
            <a:pPr/>
            <a:t>488</a:t>
          </a:fld>
          <a:endParaRPr lang="en-US" sz="6600" b="1">
            <a:solidFill>
              <a:schemeClr val="bg1"/>
            </a:solidFill>
            <a:latin typeface="+mj-lt"/>
          </a:endParaRPr>
        </a:p>
      </xdr:txBody>
    </xdr:sp>
    <xdr:clientData/>
  </xdr:twoCellAnchor>
  <xdr:twoCellAnchor>
    <xdr:from>
      <xdr:col>7</xdr:col>
      <xdr:colOff>43541</xdr:colOff>
      <xdr:row>10</xdr:row>
      <xdr:rowOff>108858</xdr:rowOff>
    </xdr:from>
    <xdr:to>
      <xdr:col>9</xdr:col>
      <xdr:colOff>359228</xdr:colOff>
      <xdr:row>12</xdr:row>
      <xdr:rowOff>108858</xdr:rowOff>
    </xdr:to>
    <xdr:sp macro="" textlink="">
      <xdr:nvSpPr>
        <xdr:cNvPr id="21" name="TextBox 20">
          <a:extLst>
            <a:ext uri="{FF2B5EF4-FFF2-40B4-BE49-F238E27FC236}">
              <a16:creationId xmlns:a16="http://schemas.microsoft.com/office/drawing/2014/main" id="{52357D0A-F520-A392-80F7-925899426FE5}"/>
            </a:ext>
          </a:extLst>
        </xdr:cNvPr>
        <xdr:cNvSpPr txBox="1"/>
      </xdr:nvSpPr>
      <xdr:spPr>
        <a:xfrm>
          <a:off x="4310741" y="1959429"/>
          <a:ext cx="1534887"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Total</a:t>
          </a:r>
          <a:r>
            <a:rPr lang="en-US" sz="1800" b="1" i="0" u="none" strike="noStrike" baseline="0">
              <a:solidFill>
                <a:schemeClr val="bg1"/>
              </a:solidFill>
              <a:latin typeface="Aptos Narrow"/>
            </a:rPr>
            <a:t> Patient</a:t>
          </a:r>
          <a:endParaRPr lang="en-US" sz="1800" b="1" i="0" u="none" strike="noStrike">
            <a:solidFill>
              <a:schemeClr val="bg1"/>
            </a:solidFill>
            <a:latin typeface="Aptos Narrow"/>
          </a:endParaRPr>
        </a:p>
      </xdr:txBody>
    </xdr:sp>
    <xdr:clientData/>
  </xdr:twoCellAnchor>
  <xdr:twoCellAnchor>
    <xdr:from>
      <xdr:col>4</xdr:col>
      <xdr:colOff>609599</xdr:colOff>
      <xdr:row>11</xdr:row>
      <xdr:rowOff>43545</xdr:rowOff>
    </xdr:from>
    <xdr:to>
      <xdr:col>11</xdr:col>
      <xdr:colOff>413656</xdr:colOff>
      <xdr:row>16</xdr:row>
      <xdr:rowOff>72120</xdr:rowOff>
    </xdr:to>
    <xdr:graphicFrame macro="">
      <xdr:nvGraphicFramePr>
        <xdr:cNvPr id="23" name="Chart 22">
          <a:extLst>
            <a:ext uri="{FF2B5EF4-FFF2-40B4-BE49-F238E27FC236}">
              <a16:creationId xmlns:a16="http://schemas.microsoft.com/office/drawing/2014/main" id="{BBF061F8-BF7F-45CF-BEC1-F2DD7A7B2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152401</xdr:colOff>
      <xdr:row>16</xdr:row>
      <xdr:rowOff>141514</xdr:rowOff>
    </xdr:from>
    <xdr:to>
      <xdr:col>13</xdr:col>
      <xdr:colOff>1</xdr:colOff>
      <xdr:row>28</xdr:row>
      <xdr:rowOff>43544</xdr:rowOff>
    </xdr:to>
    <xdr:sp macro="" textlink="">
      <xdr:nvSpPr>
        <xdr:cNvPr id="24" name="Rectangle: Rounded Corners 23">
          <a:extLst>
            <a:ext uri="{FF2B5EF4-FFF2-40B4-BE49-F238E27FC236}">
              <a16:creationId xmlns:a16="http://schemas.microsoft.com/office/drawing/2014/main" id="{0AE90D06-C66B-E7CF-2131-03E2F2F222B5}"/>
            </a:ext>
          </a:extLst>
        </xdr:cNvPr>
        <xdr:cNvSpPr/>
      </xdr:nvSpPr>
      <xdr:spPr>
        <a:xfrm>
          <a:off x="3200401" y="3102428"/>
          <a:ext cx="4724400" cy="2122716"/>
        </a:xfrm>
        <a:prstGeom prst="roundRect">
          <a:avLst>
            <a:gd name="adj" fmla="val 646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54429</xdr:colOff>
      <xdr:row>16</xdr:row>
      <xdr:rowOff>141514</xdr:rowOff>
    </xdr:from>
    <xdr:to>
      <xdr:col>30</xdr:col>
      <xdr:colOff>598715</xdr:colOff>
      <xdr:row>28</xdr:row>
      <xdr:rowOff>43543</xdr:rowOff>
    </xdr:to>
    <xdr:sp macro="" textlink="">
      <xdr:nvSpPr>
        <xdr:cNvPr id="25" name="Rectangle: Rounded Corners 24">
          <a:extLst>
            <a:ext uri="{FF2B5EF4-FFF2-40B4-BE49-F238E27FC236}">
              <a16:creationId xmlns:a16="http://schemas.microsoft.com/office/drawing/2014/main" id="{28686FE1-EDC2-B487-844A-0DD91A0F2760}"/>
            </a:ext>
          </a:extLst>
        </xdr:cNvPr>
        <xdr:cNvSpPr/>
      </xdr:nvSpPr>
      <xdr:spPr>
        <a:xfrm>
          <a:off x="12856029" y="3102428"/>
          <a:ext cx="6030686" cy="2122715"/>
        </a:xfrm>
        <a:prstGeom prst="roundRect">
          <a:avLst>
            <a:gd name="adj" fmla="val 646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65314</xdr:colOff>
      <xdr:row>2</xdr:row>
      <xdr:rowOff>141515</xdr:rowOff>
    </xdr:from>
    <xdr:to>
      <xdr:col>25</xdr:col>
      <xdr:colOff>566058</xdr:colOff>
      <xdr:row>6</xdr:row>
      <xdr:rowOff>152400</xdr:rowOff>
    </xdr:to>
    <xdr:grpSp>
      <xdr:nvGrpSpPr>
        <xdr:cNvPr id="11" name="Group 10">
          <a:extLst>
            <a:ext uri="{FF2B5EF4-FFF2-40B4-BE49-F238E27FC236}">
              <a16:creationId xmlns:a16="http://schemas.microsoft.com/office/drawing/2014/main" id="{2DD48E58-C677-5511-20C3-4EE9D95D5ABB}"/>
            </a:ext>
          </a:extLst>
        </xdr:cNvPr>
        <xdr:cNvGrpSpPr/>
      </xdr:nvGrpSpPr>
      <xdr:grpSpPr>
        <a:xfrm>
          <a:off x="5551714" y="511629"/>
          <a:ext cx="10254344" cy="751114"/>
          <a:chOff x="4201884" y="478971"/>
          <a:chExt cx="10254344" cy="751114"/>
        </a:xfrm>
      </xdr:grpSpPr>
      <xdr:sp macro="" textlink="">
        <xdr:nvSpPr>
          <xdr:cNvPr id="9" name="TextBox 8">
            <a:extLst>
              <a:ext uri="{FF2B5EF4-FFF2-40B4-BE49-F238E27FC236}">
                <a16:creationId xmlns:a16="http://schemas.microsoft.com/office/drawing/2014/main" id="{E665C2F2-B476-9794-E0BC-39A7679CFE5D}"/>
              </a:ext>
            </a:extLst>
          </xdr:cNvPr>
          <xdr:cNvSpPr txBox="1"/>
        </xdr:nvSpPr>
        <xdr:spPr>
          <a:xfrm>
            <a:off x="5312228" y="544285"/>
            <a:ext cx="91440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latin typeface="+mj-lt"/>
              </a:rPr>
              <a:t>HOSPITAL EMERGENCY ROOM DASHBOARD</a:t>
            </a:r>
          </a:p>
        </xdr:txBody>
      </xdr:sp>
      <xdr:pic>
        <xdr:nvPicPr>
          <xdr:cNvPr id="27" name="Picture 26">
            <a:extLst>
              <a:ext uri="{FF2B5EF4-FFF2-40B4-BE49-F238E27FC236}">
                <a16:creationId xmlns:a16="http://schemas.microsoft.com/office/drawing/2014/main" id="{A81AE642-5295-9749-FBB3-50F38F442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01884" y="478971"/>
            <a:ext cx="1317173" cy="685800"/>
          </a:xfrm>
          <a:prstGeom prst="rect">
            <a:avLst/>
          </a:prstGeom>
        </xdr:spPr>
      </xdr:pic>
    </xdr:grpSp>
    <xdr:clientData/>
  </xdr:twoCellAnchor>
  <xdr:twoCellAnchor>
    <xdr:from>
      <xdr:col>13</xdr:col>
      <xdr:colOff>103415</xdr:colOff>
      <xdr:row>16</xdr:row>
      <xdr:rowOff>141514</xdr:rowOff>
    </xdr:from>
    <xdr:to>
      <xdr:col>20</xdr:col>
      <xdr:colOff>560615</xdr:colOff>
      <xdr:row>28</xdr:row>
      <xdr:rowOff>43544</xdr:rowOff>
    </xdr:to>
    <xdr:sp macro="" textlink="">
      <xdr:nvSpPr>
        <xdr:cNvPr id="28" name="Rectangle: Rounded Corners 27">
          <a:extLst>
            <a:ext uri="{FF2B5EF4-FFF2-40B4-BE49-F238E27FC236}">
              <a16:creationId xmlns:a16="http://schemas.microsoft.com/office/drawing/2014/main" id="{1DB1EA94-96F8-319A-DFF4-3C42C2E62DA7}"/>
            </a:ext>
          </a:extLst>
        </xdr:cNvPr>
        <xdr:cNvSpPr/>
      </xdr:nvSpPr>
      <xdr:spPr>
        <a:xfrm>
          <a:off x="8028215" y="3102428"/>
          <a:ext cx="4724400" cy="2122716"/>
        </a:xfrm>
        <a:prstGeom prst="roundRect">
          <a:avLst>
            <a:gd name="adj" fmla="val 646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136072</xdr:colOff>
      <xdr:row>28</xdr:row>
      <xdr:rowOff>97970</xdr:rowOff>
    </xdr:from>
    <xdr:to>
      <xdr:col>19</xdr:col>
      <xdr:colOff>163286</xdr:colOff>
      <xdr:row>42</xdr:row>
      <xdr:rowOff>119743</xdr:rowOff>
    </xdr:to>
    <xdr:sp macro="" textlink="">
      <xdr:nvSpPr>
        <xdr:cNvPr id="29" name="Rectangle: Rounded Corners 28">
          <a:extLst>
            <a:ext uri="{FF2B5EF4-FFF2-40B4-BE49-F238E27FC236}">
              <a16:creationId xmlns:a16="http://schemas.microsoft.com/office/drawing/2014/main" id="{A3CBE196-4BEF-FEA2-87DD-A9B9BD681A95}"/>
            </a:ext>
          </a:extLst>
        </xdr:cNvPr>
        <xdr:cNvSpPr/>
      </xdr:nvSpPr>
      <xdr:spPr>
        <a:xfrm>
          <a:off x="3184072" y="5279570"/>
          <a:ext cx="8561614" cy="2612573"/>
        </a:xfrm>
        <a:prstGeom prst="roundRect">
          <a:avLst>
            <a:gd name="adj" fmla="val 4353"/>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255813</xdr:colOff>
      <xdr:row>28</xdr:row>
      <xdr:rowOff>97970</xdr:rowOff>
    </xdr:from>
    <xdr:to>
      <xdr:col>30</xdr:col>
      <xdr:colOff>587829</xdr:colOff>
      <xdr:row>42</xdr:row>
      <xdr:rowOff>108858</xdr:rowOff>
    </xdr:to>
    <xdr:sp macro="" textlink="">
      <xdr:nvSpPr>
        <xdr:cNvPr id="30" name="Rectangle: Rounded Corners 29">
          <a:extLst>
            <a:ext uri="{FF2B5EF4-FFF2-40B4-BE49-F238E27FC236}">
              <a16:creationId xmlns:a16="http://schemas.microsoft.com/office/drawing/2014/main" id="{7F135119-A20E-34FD-5F1C-7A1157E43CE8}"/>
            </a:ext>
          </a:extLst>
        </xdr:cNvPr>
        <xdr:cNvSpPr/>
      </xdr:nvSpPr>
      <xdr:spPr>
        <a:xfrm>
          <a:off x="11838213" y="5279570"/>
          <a:ext cx="7037616" cy="2601688"/>
        </a:xfrm>
        <a:prstGeom prst="roundRect">
          <a:avLst>
            <a:gd name="adj" fmla="val 4775"/>
          </a:avLst>
        </a:prstGeom>
        <a:solidFill>
          <a:schemeClr val="bg1"/>
        </a:solidFill>
        <a:ln>
          <a:noFill/>
        </a:ln>
        <a:effectLst>
          <a:outerShdw blurRad="50800" dist="38100" dir="8100000" algn="tr" rotWithShape="0">
            <a:prstClr val="black">
              <a:alpha val="3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87085</xdr:colOff>
      <xdr:row>8</xdr:row>
      <xdr:rowOff>43542</xdr:rowOff>
    </xdr:from>
    <xdr:to>
      <xdr:col>16</xdr:col>
      <xdr:colOff>348343</xdr:colOff>
      <xdr:row>11</xdr:row>
      <xdr:rowOff>54427</xdr:rowOff>
    </xdr:to>
    <xdr:sp macro="" textlink="'Pivot table analysis'!G13">
      <xdr:nvSpPr>
        <xdr:cNvPr id="7" name="TextBox 6">
          <a:extLst>
            <a:ext uri="{FF2B5EF4-FFF2-40B4-BE49-F238E27FC236}">
              <a16:creationId xmlns:a16="http://schemas.microsoft.com/office/drawing/2014/main" id="{F1AE573A-4204-FA72-AA3D-410383C10728}"/>
            </a:ext>
          </a:extLst>
        </xdr:cNvPr>
        <xdr:cNvSpPr txBox="1"/>
      </xdr:nvSpPr>
      <xdr:spPr>
        <a:xfrm>
          <a:off x="8621485" y="1523999"/>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A8D98B-BD88-466B-B947-6BE18896EE06}" type="TxLink">
            <a:rPr lang="en-US" sz="2800" b="1" i="0" u="none" strike="noStrike">
              <a:solidFill>
                <a:schemeClr val="bg1"/>
              </a:solidFill>
              <a:latin typeface="Aptos Narrow"/>
              <a:ea typeface="+mn-ea"/>
              <a:cs typeface="+mn-cs"/>
            </a:rPr>
            <a:pPr marL="0" indent="0"/>
            <a:t>40.5</a:t>
          </a:fld>
          <a:endParaRPr lang="en-US" sz="2800" b="1" i="0" u="none" strike="noStrike">
            <a:solidFill>
              <a:schemeClr val="bg1"/>
            </a:solidFill>
            <a:latin typeface="Aptos Narrow"/>
            <a:ea typeface="+mn-ea"/>
            <a:cs typeface="+mn-cs"/>
          </a:endParaRPr>
        </a:p>
      </xdr:txBody>
    </xdr:sp>
    <xdr:clientData/>
  </xdr:twoCellAnchor>
  <xdr:twoCellAnchor>
    <xdr:from>
      <xdr:col>13</xdr:col>
      <xdr:colOff>391884</xdr:colOff>
      <xdr:row>10</xdr:row>
      <xdr:rowOff>65314</xdr:rowOff>
    </xdr:from>
    <xdr:to>
      <xdr:col>16</xdr:col>
      <xdr:colOff>97971</xdr:colOff>
      <xdr:row>12</xdr:row>
      <xdr:rowOff>65314</xdr:rowOff>
    </xdr:to>
    <xdr:sp macro="" textlink="">
      <xdr:nvSpPr>
        <xdr:cNvPr id="8" name="TextBox 7">
          <a:extLst>
            <a:ext uri="{FF2B5EF4-FFF2-40B4-BE49-F238E27FC236}">
              <a16:creationId xmlns:a16="http://schemas.microsoft.com/office/drawing/2014/main" id="{DA2A1FFB-DC8C-4E39-C9EB-4F2770BF9E6E}"/>
            </a:ext>
          </a:extLst>
        </xdr:cNvPr>
        <xdr:cNvSpPr txBox="1"/>
      </xdr:nvSpPr>
      <xdr:spPr>
        <a:xfrm>
          <a:off x="8316684" y="1915885"/>
          <a:ext cx="1534887"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Average</a:t>
          </a:r>
          <a:r>
            <a:rPr lang="en-US" sz="1800" b="1" i="0" u="none" strike="noStrike" baseline="0">
              <a:solidFill>
                <a:schemeClr val="bg1"/>
              </a:solidFill>
              <a:latin typeface="Aptos Narrow"/>
            </a:rPr>
            <a:t> Age</a:t>
          </a:r>
          <a:endParaRPr lang="en-US" sz="1800" b="1" i="0" u="none" strike="noStrike">
            <a:solidFill>
              <a:schemeClr val="bg1"/>
            </a:solidFill>
            <a:latin typeface="Aptos Narrow"/>
          </a:endParaRPr>
        </a:p>
      </xdr:txBody>
    </xdr:sp>
    <xdr:clientData/>
  </xdr:twoCellAnchor>
  <xdr:twoCellAnchor>
    <xdr:from>
      <xdr:col>11</xdr:col>
      <xdr:colOff>370112</xdr:colOff>
      <xdr:row>12</xdr:row>
      <xdr:rowOff>0</xdr:rowOff>
    </xdr:from>
    <xdr:to>
      <xdr:col>18</xdr:col>
      <xdr:colOff>152399</xdr:colOff>
      <xdr:row>16</xdr:row>
      <xdr:rowOff>65315</xdr:rowOff>
    </xdr:to>
    <xdr:graphicFrame macro="">
      <xdr:nvGraphicFramePr>
        <xdr:cNvPr id="10" name="Chart 9">
          <a:extLst>
            <a:ext uri="{FF2B5EF4-FFF2-40B4-BE49-F238E27FC236}">
              <a16:creationId xmlns:a16="http://schemas.microsoft.com/office/drawing/2014/main" id="{AA21BD1D-D18F-48AF-9D6D-38FD1D2B3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446313</xdr:colOff>
      <xdr:row>7</xdr:row>
      <xdr:rowOff>163285</xdr:rowOff>
    </xdr:from>
    <xdr:to>
      <xdr:col>23</xdr:col>
      <xdr:colOff>97971</xdr:colOff>
      <xdr:row>10</xdr:row>
      <xdr:rowOff>174171</xdr:rowOff>
    </xdr:to>
    <xdr:sp macro="" textlink="'Pivot table analysis'!$E$13">
      <xdr:nvSpPr>
        <xdr:cNvPr id="33" name="TextBox 32">
          <a:extLst>
            <a:ext uri="{FF2B5EF4-FFF2-40B4-BE49-F238E27FC236}">
              <a16:creationId xmlns:a16="http://schemas.microsoft.com/office/drawing/2014/main" id="{C7AD538C-099E-7E5A-92B5-311839CD9F2B}"/>
            </a:ext>
          </a:extLst>
        </xdr:cNvPr>
        <xdr:cNvSpPr txBox="1"/>
      </xdr:nvSpPr>
      <xdr:spPr>
        <a:xfrm>
          <a:off x="12638313" y="1458685"/>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F6ECB3-D4C3-4324-8453-A0D7BC0FE118}" type="TxLink">
            <a:rPr lang="en-US" sz="2800" b="1" i="0" u="none" strike="noStrike">
              <a:solidFill>
                <a:schemeClr val="bg1"/>
              </a:solidFill>
              <a:latin typeface="Aptos Narrow"/>
              <a:ea typeface="+mn-ea"/>
              <a:cs typeface="+mn-cs"/>
            </a:rPr>
            <a:pPr marL="0" indent="0"/>
            <a:t>35.20</a:t>
          </a:fld>
          <a:endParaRPr lang="en-US" sz="2800" b="1" i="0" u="none" strike="noStrike">
            <a:solidFill>
              <a:schemeClr val="bg1"/>
            </a:solidFill>
            <a:latin typeface="Aptos Narrow"/>
            <a:ea typeface="+mn-ea"/>
            <a:cs typeface="+mn-cs"/>
          </a:endParaRPr>
        </a:p>
      </xdr:txBody>
    </xdr:sp>
    <xdr:clientData/>
  </xdr:twoCellAnchor>
  <xdr:twoCellAnchor>
    <xdr:from>
      <xdr:col>19</xdr:col>
      <xdr:colOff>359226</xdr:colOff>
      <xdr:row>10</xdr:row>
      <xdr:rowOff>32657</xdr:rowOff>
    </xdr:from>
    <xdr:to>
      <xdr:col>23</xdr:col>
      <xdr:colOff>544286</xdr:colOff>
      <xdr:row>12</xdr:row>
      <xdr:rowOff>32657</xdr:rowOff>
    </xdr:to>
    <xdr:sp macro="" textlink="">
      <xdr:nvSpPr>
        <xdr:cNvPr id="34" name="TextBox 33">
          <a:extLst>
            <a:ext uri="{FF2B5EF4-FFF2-40B4-BE49-F238E27FC236}">
              <a16:creationId xmlns:a16="http://schemas.microsoft.com/office/drawing/2014/main" id="{EC95CB8E-D474-21D9-C908-37A5C6CB1E0B}"/>
            </a:ext>
          </a:extLst>
        </xdr:cNvPr>
        <xdr:cNvSpPr txBox="1"/>
      </xdr:nvSpPr>
      <xdr:spPr>
        <a:xfrm>
          <a:off x="11941626" y="1883228"/>
          <a:ext cx="2623460"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Average</a:t>
          </a:r>
          <a:r>
            <a:rPr lang="en-US" sz="1800" b="1" i="0" u="none" strike="noStrike" baseline="0">
              <a:solidFill>
                <a:schemeClr val="bg1"/>
              </a:solidFill>
              <a:latin typeface="Aptos Narrow"/>
            </a:rPr>
            <a:t> Wait Time(min)</a:t>
          </a:r>
          <a:endParaRPr lang="en-US" sz="1800" b="1" i="0" u="none" strike="noStrike">
            <a:solidFill>
              <a:schemeClr val="bg1"/>
            </a:solidFill>
            <a:latin typeface="Aptos Narrow"/>
          </a:endParaRPr>
        </a:p>
      </xdr:txBody>
    </xdr:sp>
    <xdr:clientData/>
  </xdr:twoCellAnchor>
  <xdr:twoCellAnchor>
    <xdr:from>
      <xdr:col>5</xdr:col>
      <xdr:colOff>174172</xdr:colOff>
      <xdr:row>16</xdr:row>
      <xdr:rowOff>130629</xdr:rowOff>
    </xdr:from>
    <xdr:to>
      <xdr:col>12</xdr:col>
      <xdr:colOff>533400</xdr:colOff>
      <xdr:row>28</xdr:row>
      <xdr:rowOff>38781</xdr:rowOff>
    </xdr:to>
    <xdr:graphicFrame macro="">
      <xdr:nvGraphicFramePr>
        <xdr:cNvPr id="13" name="Chart 12">
          <a:extLst>
            <a:ext uri="{FF2B5EF4-FFF2-40B4-BE49-F238E27FC236}">
              <a16:creationId xmlns:a16="http://schemas.microsoft.com/office/drawing/2014/main" id="{41844662-F25E-4ED8-B30C-A51C76542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87086</xdr:colOff>
      <xdr:row>16</xdr:row>
      <xdr:rowOff>119743</xdr:rowOff>
    </xdr:from>
    <xdr:to>
      <xdr:col>20</xdr:col>
      <xdr:colOff>533400</xdr:colOff>
      <xdr:row>28</xdr:row>
      <xdr:rowOff>65314</xdr:rowOff>
    </xdr:to>
    <xdr:graphicFrame macro="">
      <xdr:nvGraphicFramePr>
        <xdr:cNvPr id="17" name="Chart 16">
          <a:extLst>
            <a:ext uri="{FF2B5EF4-FFF2-40B4-BE49-F238E27FC236}">
              <a16:creationId xmlns:a16="http://schemas.microsoft.com/office/drawing/2014/main" id="{8EA4CC7C-BC60-4094-979A-65C270F3B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163286</xdr:colOff>
      <xdr:row>28</xdr:row>
      <xdr:rowOff>152400</xdr:rowOff>
    </xdr:from>
    <xdr:to>
      <xdr:col>19</xdr:col>
      <xdr:colOff>174172</xdr:colOff>
      <xdr:row>42</xdr:row>
      <xdr:rowOff>108857</xdr:rowOff>
    </xdr:to>
    <xdr:graphicFrame macro="">
      <xdr:nvGraphicFramePr>
        <xdr:cNvPr id="18" name="Chart 17">
          <a:extLst>
            <a:ext uri="{FF2B5EF4-FFF2-40B4-BE49-F238E27FC236}">
              <a16:creationId xmlns:a16="http://schemas.microsoft.com/office/drawing/2014/main" id="{98939AA6-7A18-4634-8F00-ADBB78DFD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xdr:from>
          <xdr:col>21</xdr:col>
          <xdr:colOff>54428</xdr:colOff>
          <xdr:row>17</xdr:row>
          <xdr:rowOff>87084</xdr:rowOff>
        </xdr:from>
        <xdr:to>
          <xdr:col>30</xdr:col>
          <xdr:colOff>566057</xdr:colOff>
          <xdr:row>27</xdr:row>
          <xdr:rowOff>130627</xdr:rowOff>
        </xdr:to>
        <xdr:pic>
          <xdr:nvPicPr>
            <xdr:cNvPr id="26" name="Picture 25">
              <a:extLst>
                <a:ext uri="{FF2B5EF4-FFF2-40B4-BE49-F238E27FC236}">
                  <a16:creationId xmlns:a16="http://schemas.microsoft.com/office/drawing/2014/main" id="{78756F4E-BCE6-E9ED-A063-ADBF418404D5}"/>
                </a:ext>
              </a:extLst>
            </xdr:cNvPr>
            <xdr:cNvPicPr>
              <a:picLocks noChangeAspect="1" noChangeArrowheads="1"/>
              <a:extLst>
                <a:ext uri="{84589F7E-364E-4C9E-8A38-B11213B215E9}">
                  <a14:cameraTool cellRange="'Pivot Table anaylsis'!$L$15:$O$17" spid="_x0000_s1067"/>
                </a:ext>
              </a:extLst>
            </xdr:cNvPicPr>
          </xdr:nvPicPr>
          <xdr:blipFill>
            <a:blip xmlns:r="http://schemas.openxmlformats.org/officeDocument/2006/relationships" r:embed="rId7"/>
            <a:srcRect/>
            <a:stretch>
              <a:fillRect/>
            </a:stretch>
          </xdr:blipFill>
          <xdr:spPr bwMode="auto">
            <a:xfrm>
              <a:off x="12856028" y="3233055"/>
              <a:ext cx="5998029" cy="18941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250372</xdr:colOff>
      <xdr:row>28</xdr:row>
      <xdr:rowOff>97971</xdr:rowOff>
    </xdr:from>
    <xdr:to>
      <xdr:col>31</xdr:col>
      <xdr:colOff>0</xdr:colOff>
      <xdr:row>42</xdr:row>
      <xdr:rowOff>108857</xdr:rowOff>
    </xdr:to>
    <xdr:graphicFrame macro="">
      <xdr:nvGraphicFramePr>
        <xdr:cNvPr id="32" name="Chart 31">
          <a:extLst>
            <a:ext uri="{FF2B5EF4-FFF2-40B4-BE49-F238E27FC236}">
              <a16:creationId xmlns:a16="http://schemas.microsoft.com/office/drawing/2014/main" id="{B7EF93C3-5B94-429E-B6CF-FFEE4E637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0</xdr:colOff>
      <xdr:row>11</xdr:row>
      <xdr:rowOff>108857</xdr:rowOff>
    </xdr:from>
    <xdr:to>
      <xdr:col>24</xdr:col>
      <xdr:colOff>391886</xdr:colOff>
      <xdr:row>16</xdr:row>
      <xdr:rowOff>32658</xdr:rowOff>
    </xdr:to>
    <xdr:graphicFrame macro="">
      <xdr:nvGraphicFramePr>
        <xdr:cNvPr id="39" name="Chart 38">
          <a:extLst>
            <a:ext uri="{FF2B5EF4-FFF2-40B4-BE49-F238E27FC236}">
              <a16:creationId xmlns:a16="http://schemas.microsoft.com/office/drawing/2014/main" id="{52A708D4-4475-499A-8710-F5A87D8A6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76199</xdr:colOff>
      <xdr:row>7</xdr:row>
      <xdr:rowOff>130628</xdr:rowOff>
    </xdr:from>
    <xdr:to>
      <xdr:col>29</xdr:col>
      <xdr:colOff>337457</xdr:colOff>
      <xdr:row>10</xdr:row>
      <xdr:rowOff>141514</xdr:rowOff>
    </xdr:to>
    <xdr:sp macro="" textlink="'Pivot table analysis'!F13">
      <xdr:nvSpPr>
        <xdr:cNvPr id="40" name="TextBox 39">
          <a:extLst>
            <a:ext uri="{FF2B5EF4-FFF2-40B4-BE49-F238E27FC236}">
              <a16:creationId xmlns:a16="http://schemas.microsoft.com/office/drawing/2014/main" id="{F376C7EF-00CF-476E-BFEE-73558D517CC9}"/>
            </a:ext>
          </a:extLst>
        </xdr:cNvPr>
        <xdr:cNvSpPr txBox="1"/>
      </xdr:nvSpPr>
      <xdr:spPr>
        <a:xfrm>
          <a:off x="16535399" y="1426028"/>
          <a:ext cx="1480458"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BB0643-156D-4B66-A331-DA78E0D9D4D5}" type="TxLink">
            <a:rPr lang="en-US" sz="2800" b="1" i="0" u="none" strike="noStrike">
              <a:solidFill>
                <a:schemeClr val="bg1"/>
              </a:solidFill>
              <a:latin typeface="Aptos Narrow"/>
              <a:ea typeface="+mn-ea"/>
              <a:cs typeface="+mn-cs"/>
            </a:rPr>
            <a:pPr marL="0" indent="0"/>
            <a:t>4.79</a:t>
          </a:fld>
          <a:endParaRPr lang="en-US" sz="2800" b="1" i="0" u="none" strike="noStrike">
            <a:solidFill>
              <a:schemeClr val="bg1"/>
            </a:solidFill>
            <a:latin typeface="Aptos Narrow"/>
            <a:ea typeface="+mn-ea"/>
            <a:cs typeface="+mn-cs"/>
          </a:endParaRPr>
        </a:p>
      </xdr:txBody>
    </xdr:sp>
    <xdr:clientData/>
  </xdr:twoCellAnchor>
  <xdr:twoCellAnchor>
    <xdr:from>
      <xdr:col>26</xdr:col>
      <xdr:colOff>10885</xdr:colOff>
      <xdr:row>9</xdr:row>
      <xdr:rowOff>152400</xdr:rowOff>
    </xdr:from>
    <xdr:to>
      <xdr:col>29</xdr:col>
      <xdr:colOff>587829</xdr:colOff>
      <xdr:row>11</xdr:row>
      <xdr:rowOff>152400</xdr:rowOff>
    </xdr:to>
    <xdr:sp macro="" textlink="">
      <xdr:nvSpPr>
        <xdr:cNvPr id="41" name="TextBox 40">
          <a:extLst>
            <a:ext uri="{FF2B5EF4-FFF2-40B4-BE49-F238E27FC236}">
              <a16:creationId xmlns:a16="http://schemas.microsoft.com/office/drawing/2014/main" id="{191AE811-13F5-7A15-9DB0-3999F0085435}"/>
            </a:ext>
          </a:extLst>
        </xdr:cNvPr>
        <xdr:cNvSpPr txBox="1"/>
      </xdr:nvSpPr>
      <xdr:spPr>
        <a:xfrm>
          <a:off x="15860485" y="1817914"/>
          <a:ext cx="2405744"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Avg</a:t>
          </a:r>
          <a:r>
            <a:rPr lang="en-US" sz="1800" b="1" i="0" u="none" strike="noStrike" baseline="0">
              <a:solidFill>
                <a:schemeClr val="bg1"/>
              </a:solidFill>
              <a:latin typeface="Aptos Narrow"/>
            </a:rPr>
            <a:t> Satisfaction Score</a:t>
          </a:r>
          <a:endParaRPr lang="en-US" sz="1800" b="1" i="0" u="none" strike="noStrike">
            <a:solidFill>
              <a:schemeClr val="bg1"/>
            </a:solidFill>
            <a:latin typeface="Aptos Narrow"/>
          </a:endParaRPr>
        </a:p>
      </xdr:txBody>
    </xdr:sp>
    <xdr:clientData/>
  </xdr:twoCellAnchor>
  <xdr:twoCellAnchor>
    <xdr:from>
      <xdr:col>24</xdr:col>
      <xdr:colOff>293911</xdr:colOff>
      <xdr:row>11</xdr:row>
      <xdr:rowOff>32657</xdr:rowOff>
    </xdr:from>
    <xdr:to>
      <xdr:col>31</xdr:col>
      <xdr:colOff>87086</xdr:colOff>
      <xdr:row>16</xdr:row>
      <xdr:rowOff>32658</xdr:rowOff>
    </xdr:to>
    <xdr:graphicFrame macro="">
      <xdr:nvGraphicFramePr>
        <xdr:cNvPr id="42" name="Chart 41">
          <a:extLst>
            <a:ext uri="{FF2B5EF4-FFF2-40B4-BE49-F238E27FC236}">
              <a16:creationId xmlns:a16="http://schemas.microsoft.com/office/drawing/2014/main" id="{CEA7FD24-0C69-4349-8664-C33F9DB85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555172</xdr:colOff>
      <xdr:row>13</xdr:row>
      <xdr:rowOff>119743</xdr:rowOff>
    </xdr:from>
    <xdr:to>
      <xdr:col>4</xdr:col>
      <xdr:colOff>544286</xdr:colOff>
      <xdr:row>18</xdr:row>
      <xdr:rowOff>87085</xdr:rowOff>
    </xdr:to>
    <mc:AlternateContent xmlns:mc="http://schemas.openxmlformats.org/markup-compatibility/2006" xmlns:a14="http://schemas.microsoft.com/office/drawing/2010/main">
      <mc:Choice Requires="a14">
        <xdr:graphicFrame macro="">
          <xdr:nvGraphicFramePr>
            <xdr:cNvPr id="43" name="Date (Year)">
              <a:extLst>
                <a:ext uri="{FF2B5EF4-FFF2-40B4-BE49-F238E27FC236}">
                  <a16:creationId xmlns:a16="http://schemas.microsoft.com/office/drawing/2014/main" id="{7B87997F-8D0E-4A21-ADB9-173101A9AB2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774372" y="2525486"/>
              <a:ext cx="1208314" cy="892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293914</xdr:colOff>
      <xdr:row>9</xdr:row>
      <xdr:rowOff>108858</xdr:rowOff>
    </xdr:from>
    <xdr:to>
      <xdr:col>5</xdr:col>
      <xdr:colOff>228600</xdr:colOff>
      <xdr:row>12</xdr:row>
      <xdr:rowOff>1</xdr:rowOff>
    </xdr:to>
    <xdr:sp macro="" textlink="">
      <xdr:nvSpPr>
        <xdr:cNvPr id="44" name="TextBox 43">
          <a:extLst>
            <a:ext uri="{FF2B5EF4-FFF2-40B4-BE49-F238E27FC236}">
              <a16:creationId xmlns:a16="http://schemas.microsoft.com/office/drawing/2014/main" id="{E6C4CA08-AB19-E4BA-DAA7-B9E88D7F9B02}"/>
            </a:ext>
          </a:extLst>
        </xdr:cNvPr>
        <xdr:cNvSpPr txBox="1"/>
      </xdr:nvSpPr>
      <xdr:spPr>
        <a:xfrm>
          <a:off x="2122714" y="1774372"/>
          <a:ext cx="1153886" cy="44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Filter</a:t>
          </a:r>
        </a:p>
      </xdr:txBody>
    </xdr:sp>
    <xdr:clientData/>
  </xdr:twoCellAnchor>
  <xdr:twoCellAnchor>
    <xdr:from>
      <xdr:col>2</xdr:col>
      <xdr:colOff>478973</xdr:colOff>
      <xdr:row>9</xdr:row>
      <xdr:rowOff>174172</xdr:rowOff>
    </xdr:from>
    <xdr:to>
      <xdr:col>3</xdr:col>
      <xdr:colOff>402773</xdr:colOff>
      <xdr:row>11</xdr:row>
      <xdr:rowOff>163286</xdr:rowOff>
    </xdr:to>
    <xdr:pic>
      <xdr:nvPicPr>
        <xdr:cNvPr id="46" name="Picture 45">
          <a:extLst>
            <a:ext uri="{FF2B5EF4-FFF2-40B4-BE49-F238E27FC236}">
              <a16:creationId xmlns:a16="http://schemas.microsoft.com/office/drawing/2014/main" id="{63BB0804-2E51-AAC2-3936-CF42DBDCF5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98173" y="1839686"/>
          <a:ext cx="533400" cy="359229"/>
        </a:xfrm>
        <a:prstGeom prst="rect">
          <a:avLst/>
        </a:prstGeom>
      </xdr:spPr>
    </xdr:pic>
    <xdr:clientData/>
  </xdr:twoCellAnchor>
  <xdr:twoCellAnchor>
    <xdr:from>
      <xdr:col>2</xdr:col>
      <xdr:colOff>478971</xdr:colOff>
      <xdr:row>12</xdr:row>
      <xdr:rowOff>87086</xdr:rowOff>
    </xdr:from>
    <xdr:to>
      <xdr:col>5</xdr:col>
      <xdr:colOff>32657</xdr:colOff>
      <xdr:row>12</xdr:row>
      <xdr:rowOff>87086</xdr:rowOff>
    </xdr:to>
    <xdr:cxnSp macro="">
      <xdr:nvCxnSpPr>
        <xdr:cNvPr id="48" name="Straight Connector 47">
          <a:extLst>
            <a:ext uri="{FF2B5EF4-FFF2-40B4-BE49-F238E27FC236}">
              <a16:creationId xmlns:a16="http://schemas.microsoft.com/office/drawing/2014/main" id="{662164E7-651A-4917-521A-9610E7FC7503}"/>
            </a:ext>
          </a:extLst>
        </xdr:cNvPr>
        <xdr:cNvCxnSpPr/>
      </xdr:nvCxnSpPr>
      <xdr:spPr>
        <a:xfrm>
          <a:off x="1698171" y="2307772"/>
          <a:ext cx="1382486" cy="0"/>
        </a:xfrm>
        <a:prstGeom prst="line">
          <a:avLst/>
        </a:prstGeom>
        <a:ln w="25400">
          <a:solidFill>
            <a:schemeClr val="bg1">
              <a:lumMod val="95000"/>
              <a:alpha val="11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185059</xdr:colOff>
      <xdr:row>8</xdr:row>
      <xdr:rowOff>76201</xdr:rowOff>
    </xdr:from>
    <xdr:to>
      <xdr:col>5</xdr:col>
      <xdr:colOff>576945</xdr:colOff>
      <xdr:row>10</xdr:row>
      <xdr:rowOff>97973</xdr:rowOff>
    </xdr:to>
    <xdr:pic>
      <xdr:nvPicPr>
        <xdr:cNvPr id="50" name="Picture 49">
          <a:extLst>
            <a:ext uri="{FF2B5EF4-FFF2-40B4-BE49-F238E27FC236}">
              <a16:creationId xmlns:a16="http://schemas.microsoft.com/office/drawing/2014/main" id="{19D01FCE-2993-D995-9F5B-C2A22683A61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3059" y="1556658"/>
          <a:ext cx="391886" cy="391886"/>
        </a:xfrm>
        <a:prstGeom prst="rect">
          <a:avLst/>
        </a:prstGeom>
      </xdr:spPr>
    </xdr:pic>
    <xdr:clientData/>
  </xdr:twoCellAnchor>
  <xdr:twoCellAnchor>
    <xdr:from>
      <xdr:col>11</xdr:col>
      <xdr:colOff>500744</xdr:colOff>
      <xdr:row>8</xdr:row>
      <xdr:rowOff>109540</xdr:rowOff>
    </xdr:from>
    <xdr:to>
      <xdr:col>12</xdr:col>
      <xdr:colOff>271461</xdr:colOff>
      <xdr:row>10</xdr:row>
      <xdr:rowOff>119743</xdr:rowOff>
    </xdr:to>
    <xdr:pic>
      <xdr:nvPicPr>
        <xdr:cNvPr id="53" name="Picture 52">
          <a:extLst>
            <a:ext uri="{FF2B5EF4-FFF2-40B4-BE49-F238E27FC236}">
              <a16:creationId xmlns:a16="http://schemas.microsoft.com/office/drawing/2014/main" id="{1D11D9E8-2C18-7243-D515-21938EB7D61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206344" y="1589997"/>
          <a:ext cx="380317" cy="380317"/>
        </a:xfrm>
        <a:prstGeom prst="rect">
          <a:avLst/>
        </a:prstGeom>
      </xdr:spPr>
    </xdr:pic>
    <xdr:clientData/>
  </xdr:twoCellAnchor>
  <xdr:twoCellAnchor>
    <xdr:from>
      <xdr:col>18</xdr:col>
      <xdr:colOff>141516</xdr:colOff>
      <xdr:row>8</xdr:row>
      <xdr:rowOff>65314</xdr:rowOff>
    </xdr:from>
    <xdr:to>
      <xdr:col>19</xdr:col>
      <xdr:colOff>10886</xdr:colOff>
      <xdr:row>10</xdr:row>
      <xdr:rowOff>141515</xdr:rowOff>
    </xdr:to>
    <xdr:pic>
      <xdr:nvPicPr>
        <xdr:cNvPr id="57" name="Graphic 56" descr="Hourglass Full with solid fill">
          <a:extLst>
            <a:ext uri="{FF2B5EF4-FFF2-40B4-BE49-F238E27FC236}">
              <a16:creationId xmlns:a16="http://schemas.microsoft.com/office/drawing/2014/main" id="{1FD82F83-6E08-C59C-71EA-4CD808274BC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114316" y="1545771"/>
          <a:ext cx="478970" cy="446315"/>
        </a:xfrm>
        <a:prstGeom prst="rect">
          <a:avLst/>
        </a:prstGeom>
      </xdr:spPr>
    </xdr:pic>
    <xdr:clientData/>
  </xdr:twoCellAnchor>
  <xdr:twoCellAnchor>
    <xdr:from>
      <xdr:col>24</xdr:col>
      <xdr:colOff>413658</xdr:colOff>
      <xdr:row>7</xdr:row>
      <xdr:rowOff>163285</xdr:rowOff>
    </xdr:from>
    <xdr:to>
      <xdr:col>25</xdr:col>
      <xdr:colOff>402772</xdr:colOff>
      <xdr:row>11</xdr:row>
      <xdr:rowOff>97970</xdr:rowOff>
    </xdr:to>
    <xdr:pic>
      <xdr:nvPicPr>
        <xdr:cNvPr id="59" name="Graphic 58" descr="Rating with solid fill">
          <a:extLst>
            <a:ext uri="{FF2B5EF4-FFF2-40B4-BE49-F238E27FC236}">
              <a16:creationId xmlns:a16="http://schemas.microsoft.com/office/drawing/2014/main" id="{C6CB189C-B1B0-F766-3724-F46D3A9C194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044058" y="1458685"/>
          <a:ext cx="598714" cy="6749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947738</xdr:colOff>
      <xdr:row>30</xdr:row>
      <xdr:rowOff>66675</xdr:rowOff>
    </xdr:from>
    <xdr:to>
      <xdr:col>15</xdr:col>
      <xdr:colOff>733425</xdr:colOff>
      <xdr:row>37</xdr:row>
      <xdr:rowOff>90488</xdr:rowOff>
    </xdr:to>
    <xdr:graphicFrame macro="">
      <xdr:nvGraphicFramePr>
        <xdr:cNvPr id="2" name="Chart 1">
          <a:extLst>
            <a:ext uri="{FF2B5EF4-FFF2-40B4-BE49-F238E27FC236}">
              <a16:creationId xmlns:a16="http://schemas.microsoft.com/office/drawing/2014/main" id="{C4E1692B-4D37-1612-53D0-4A6D6BB95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36</xdr:row>
      <xdr:rowOff>0</xdr:rowOff>
    </xdr:from>
    <xdr:to>
      <xdr:col>15</xdr:col>
      <xdr:colOff>605517</xdr:colOff>
      <xdr:row>41</xdr:row>
      <xdr:rowOff>48985</xdr:rowOff>
    </xdr:to>
    <xdr:graphicFrame macro="">
      <xdr:nvGraphicFramePr>
        <xdr:cNvPr id="3" name="Chart 2">
          <a:extLst>
            <a:ext uri="{FF2B5EF4-FFF2-40B4-BE49-F238E27FC236}">
              <a16:creationId xmlns:a16="http://schemas.microsoft.com/office/drawing/2014/main" id="{D6BBDD89-7817-4645-9280-30033825C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172811</xdr:colOff>
      <xdr:row>6</xdr:row>
      <xdr:rowOff>108857</xdr:rowOff>
    </xdr:from>
    <xdr:to>
      <xdr:col>16</xdr:col>
      <xdr:colOff>523875</xdr:colOff>
      <xdr:row>18</xdr:row>
      <xdr:rowOff>65995</xdr:rowOff>
    </xdr:to>
    <xdr:graphicFrame macro="">
      <xdr:nvGraphicFramePr>
        <xdr:cNvPr id="4" name="Chart 3">
          <a:extLst>
            <a:ext uri="{FF2B5EF4-FFF2-40B4-BE49-F238E27FC236}">
              <a16:creationId xmlns:a16="http://schemas.microsoft.com/office/drawing/2014/main" id="{8E58EBB3-8EFC-266A-9E6F-9B62EB31F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19</xdr:row>
      <xdr:rowOff>0</xdr:rowOff>
    </xdr:from>
    <xdr:to>
      <xdr:col>16</xdr:col>
      <xdr:colOff>16328</xdr:colOff>
      <xdr:row>30</xdr:row>
      <xdr:rowOff>138113</xdr:rowOff>
    </xdr:to>
    <xdr:graphicFrame macro="">
      <xdr:nvGraphicFramePr>
        <xdr:cNvPr id="7" name="Chart 6">
          <a:extLst>
            <a:ext uri="{FF2B5EF4-FFF2-40B4-BE49-F238E27FC236}">
              <a16:creationId xmlns:a16="http://schemas.microsoft.com/office/drawing/2014/main" id="{08A2FA24-C8E3-423B-8B19-6218646BF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1295400</xdr:colOff>
      <xdr:row>71</xdr:row>
      <xdr:rowOff>4763</xdr:rowOff>
    </xdr:from>
    <xdr:to>
      <xdr:col>14</xdr:col>
      <xdr:colOff>1104900</xdr:colOff>
      <xdr:row>86</xdr:row>
      <xdr:rowOff>33338</xdr:rowOff>
    </xdr:to>
    <xdr:graphicFrame macro="">
      <xdr:nvGraphicFramePr>
        <xdr:cNvPr id="9" name="Chart 8">
          <a:extLst>
            <a:ext uri="{FF2B5EF4-FFF2-40B4-BE49-F238E27FC236}">
              <a16:creationId xmlns:a16="http://schemas.microsoft.com/office/drawing/2014/main" id="{A3B9BEBB-F811-3C68-8E8D-DCA6960A5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271462</xdr:colOff>
      <xdr:row>88</xdr:row>
      <xdr:rowOff>123824</xdr:rowOff>
    </xdr:from>
    <xdr:to>
      <xdr:col>9</xdr:col>
      <xdr:colOff>981074</xdr:colOff>
      <xdr:row>109</xdr:row>
      <xdr:rowOff>157162</xdr:rowOff>
    </xdr:to>
    <xdr:graphicFrame macro="">
      <xdr:nvGraphicFramePr>
        <xdr:cNvPr id="5" name="Chart 4">
          <a:extLst>
            <a:ext uri="{FF2B5EF4-FFF2-40B4-BE49-F238E27FC236}">
              <a16:creationId xmlns:a16="http://schemas.microsoft.com/office/drawing/2014/main" id="{B280DA56-1182-95A9-A0F1-9D7BD7B5A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3958333" backgroundQuery="1" createdVersion="8" refreshedVersion="8" minRefreshableVersion="3" recordCount="0" supportSubquery="1" supportAdvancedDrill="1" xr:uid="{B93E425D-0B6E-4682-A203-4FC97440F142}">
  <cacheSource type="external" connectionId="3"/>
  <cacheFields count="4">
    <cacheField name="[Measures].[Count of Patient Id]" caption="Count of Patient Id" numFmtId="0" hierarchy="28" level="32767"/>
    <cacheField name="[Calenda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Month)].[Date (Month)]" caption="Date (Month)" numFmtId="0" hierarchy="9" level="1">
      <sharedItems count="1">
        <s v="Jul"/>
      </sharedItems>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4768518" backgroundQuery="1" createdVersion="8" refreshedVersion="8" minRefreshableVersion="3" recordCount="0" supportSubquery="1" supportAdvancedDrill="1" xr:uid="{E58D005F-36D9-43DE-B54A-70F069FA69F9}">
  <cacheSource type="external" connectionId="3"/>
  <cacheFields count="4">
    <cacheField name="[Calenda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Month)].[Date (Month)]" caption="Date (Month)" numFmtId="0" hierarchy="9" level="1">
      <sharedItems count="1">
        <s v="Jul"/>
      </sharedItems>
    </cacheField>
    <cacheField name="[Measures].[Average of Patient Age]" caption="Average of Patient Age" numFmtId="0" hierarchy="34" level="32767"/>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5462965" backgroundQuery="1" createdVersion="8" refreshedVersion="8" minRefreshableVersion="3" recordCount="0" supportSubquery="1" supportAdvancedDrill="1" xr:uid="{CF0B316B-5068-4184-A8E4-A2280982608B}">
  <cacheSource type="external" connectionId="3"/>
  <cacheFields count="3">
    <cacheField name="[Calendar_table].[Date (Month)].[Date (Month)]" caption="Date (Month)" numFmtId="0" hierarchy="9" level="1">
      <sharedItems containsSemiMixedTypes="0" containsNonDate="0" containsString="0"/>
    </cacheField>
    <cacheField name="[Clean_data].[Patient Gender].[Patient Gender]" caption="Patient Gender" numFmtId="0" hierarchy="15" level="1">
      <sharedItems count="2">
        <s v="Female"/>
        <s v="Male"/>
      </sharedItems>
    </cacheField>
    <cacheField name="[Measures].[Count of Patient Id]" caption="Count of Patient Id" numFmtId="0" hierarchy="28" level="32767"/>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fieldsUsage count="2">
        <fieldUsage x="-1"/>
        <fieldUsage x="1"/>
      </fieldsUsage>
    </cacheHierarchy>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5925927" backgroundQuery="1" createdVersion="8" refreshedVersion="8" minRefreshableVersion="3" recordCount="0" supportSubquery="1" supportAdvancedDrill="1" xr:uid="{178135B5-A3D1-4056-82B4-69AD5CA2BAAA}">
  <cacheSource type="external" connectionId="3"/>
  <cacheFields count="4">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Patient Attend Status].[Patient Attend Status]" caption="Patient Attend Status" numFmtId="0" hierarchy="23" level="1">
      <sharedItems count="2">
        <s v="Delay"/>
        <s v="Within Time"/>
      </sharedItems>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fieldsUsage count="2">
        <fieldUsage x="-1"/>
        <fieldUsage x="2"/>
      </fieldsUsage>
    </cacheHierarchy>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6620373" backgroundQuery="1" createdVersion="8" refreshedVersion="8" minRefreshableVersion="3" recordCount="0" supportSubquery="1" supportAdvancedDrill="1" xr:uid="{A2C96D3B-CBF1-4FE8-93D7-51E71A93DCFC}">
  <cacheSource type="external" connectionId="3"/>
  <cacheFields count="3">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Age Group].[Age Group]" caption="Age Group" numFmtId="0" hierarchy="22" level="1">
      <sharedItems count="7">
        <s v="0-4"/>
        <s v="05-14"/>
        <s v="15-29"/>
        <s v="30-44"/>
        <s v="45-59"/>
        <s v="60-69"/>
        <s v="70-79"/>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2" memberValueDatatype="130" unbalanced="0">
      <fieldsUsage count="2">
        <fieldUsage x="-1"/>
        <fieldUsage x="2"/>
      </fieldsUsage>
    </cacheHierarchy>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7083335" backgroundQuery="1" createdVersion="8" refreshedVersion="8" minRefreshableVersion="3" recordCount="0" supportSubquery="1" supportAdvancedDrill="1" xr:uid="{312A8968-B383-4002-87A0-BCC1802A3418}">
  <cacheSource type="external" connectionId="3"/>
  <cacheFields count="4">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Patient Admission Flag].[Patient Admission Flag]" caption="Patient Admission Flag" numFmtId="0" hierarchy="19" level="1">
      <sharedItems count="2">
        <s v="Admitted"/>
        <s v="Not Admitted"/>
      </sharedItems>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2" memberValueDatatype="130" unbalanced="0">
      <fieldsUsage count="2">
        <fieldUsage x="-1"/>
        <fieldUsage x="2"/>
      </fieldsUsage>
    </cacheHierarchy>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7546297" backgroundQuery="1" createdVersion="8" refreshedVersion="8" minRefreshableVersion="3" recordCount="0" supportSubquery="1" supportAdvancedDrill="1" xr:uid="{0EBA3FCE-DDAE-4544-A5CE-9BA8EF7B48B6}">
  <cacheSource type="external" connectionId="3"/>
  <cacheFields count="3">
    <cacheField name="[Calendar_table].[Date (Month)].[Date (Month)]" caption="Date (Month)" numFmtId="0" hierarchy="9" level="1">
      <sharedItems containsSemiMixedTypes="0" containsNonDate="0" containsString="0"/>
    </cacheField>
    <cacheField name="[Measures].[Count of Patient Id]" caption="Count of Patient Id" numFmtId="0" hierarchy="28" level="32767"/>
    <cacheField name="[Clean_data].[Department Referral].[Department Referral]" caption="Department Referral" numFmtId="0" hierarchy="18" level="1">
      <sharedItems count="8">
        <s v="Cardiology"/>
        <s v="Gastroenterology"/>
        <s v="General Practice"/>
        <s v="Neurology"/>
        <s v="None"/>
        <s v="Orthopedics"/>
        <s v="Physiotherapy"/>
        <s v="Renal"/>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2"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2" memberValueDatatype="130" unbalanced="0">
      <fieldsUsage count="2">
        <fieldUsage x="-1"/>
        <fieldUsage x="2"/>
      </fieldsUsage>
    </cacheHierarchy>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8009259" backgroundQuery="1" createdVersion="8" refreshedVersion="8" minRefreshableVersion="3" recordCount="0" supportSubquery="1" supportAdvancedDrill="1" xr:uid="{E1B48B9A-6C96-4CBB-AE47-6FA52B41C07C}">
  <cacheSource type="external" connectionId="3"/>
  <cacheFields count="4">
    <cacheField name="[Calenda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Month)].[Date (Month)]" caption="Date (Month)" numFmtId="0" hierarchy="9" level="1">
      <sharedItems count="1">
        <s v="Jul"/>
      </sharedItems>
    </cacheField>
    <cacheField name="[Measures].[Average of Patient Waittime]" caption="Average of Patient Waittime" numFmtId="0" hierarchy="30" level="32767"/>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8703705" backgroundQuery="1" createdVersion="8" refreshedVersion="8" minRefreshableVersion="3" recordCount="0" supportSubquery="1" supportAdvancedDrill="1" xr:uid="{E4C978FD-F9EB-4B66-B603-2E7A3A9007EA}">
  <cacheSource type="external" connectionId="3"/>
  <cacheFields count="4">
    <cacheField name="[Calenda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Month)].[Date (Month)]" caption="Date (Month)" numFmtId="0" hierarchy="9" level="1">
      <sharedItems count="1">
        <s v="Jul"/>
      </sharedItems>
    </cacheField>
    <cacheField name="[Measures].[Average of Patient Satisfaction Score]" caption="Average of Patient Satisfaction Score" numFmtId="0" hierarchy="32" level="32767"/>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Month]" caption="Month" attribute="1" defaultMemberUniqueName="[Calendar_table].[Month].[All]" allUniqueName="[Calendar_table].[Month].[All]" dimensionUniqueName="[Calendar_table]" displayFolder="" count="2"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9.709929166667" backgroundQuery="1" createdVersion="8" refreshedVersion="8" minRefreshableVersion="3" recordCount="0" supportSubquery="1" supportAdvancedDrill="1" xr:uid="{559B58DB-50D4-4E43-B2BC-6B43BA7B9E71}">
  <cacheSource type="external" connectionId="3"/>
  <cacheFields count="6">
    <cacheField name="[Measures].[Count of Patient Id]" caption="Count of Patient Id" numFmtId="0" hierarchy="28" level="32767"/>
    <cacheField name="[Measures].[Average of Patient Waittime]" caption="Average of Patient Waittime" numFmtId="0" hierarchy="30" level="32767"/>
    <cacheField name="[Measures].[Average of Patient Satisfaction Score]" caption="Average of Patient Satisfaction Score" numFmtId="0" hierarchy="32" level="32767"/>
    <cacheField name="[Measures].[Average of Patient Age]" caption="Average of Patient Age" numFmtId="0" hierarchy="34" level="32767"/>
    <cacheField name="[Calendar_table].[Date (Month)].[Date (Month)]" caption="Date (Month)" numFmtId="0" hierarchy="9" level="1">
      <sharedItems containsSemiMixedTypes="0" containsNonDate="0" containsString="0"/>
    </cacheField>
    <cacheField name="[Calendar_table].[Date (Year)].[Date (Year)]" caption="Date (Year)" numFmtId="0" hierarchy="7"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5"/>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4"/>
      </fieldsUsage>
    </cacheHierarchy>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atient Age]" caption="Sum of Patient Age" measure="1" displayFolder="" measureGroup="Clean_data" count="0" hidden="1">
      <extLst>
        <ext xmlns:x15="http://schemas.microsoft.com/office/spreadsheetml/2010/11/main" uri="{B97F6D7D-B522-45F9-BDA1-12C45D357490}">
          <x15:cacheHierarchy aggregatedColumn="16"/>
        </ext>
      </extLst>
    </cacheHierarchy>
    <cacheHierarchy uniqueName="[Measures].[Average of Patient Age]" caption="Average of Patient Age" measure="1" displayFolder="" measureGroup="Clean_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Month]" caption="Sum of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Clean_data" uniqueName="[Clean_data]" caption="Clean_data"/>
    <dimension measure="1" name="Measures" uniqueName="[Measures]" caption="Measures"/>
  </dimensions>
  <measureGroups count="2">
    <measureGroup name="Calendar_table" caption="Calendar_table"/>
    <measureGroup name="Clean_data" caption="Clean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s pc" refreshedDate="46098.737431481481" backgroundQuery="1" createdVersion="3" refreshedVersion="8" minRefreshableVersion="3" recordCount="0" supportSubquery="1" supportAdvancedDrill="1" xr:uid="{DE9A5AE2-81B5-4A36-8887-88F8CCBF2217}">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Month]" caption="Month" attribute="1" defaultMemberUniqueName="[Calendar_table].[Month].[All]" allUniqueName="[Calendar_table].[Month].[All]" dimensionUniqueName="[Calendar_table]" displayFolder="" count="0" memberValueDatatype="20" unbalanced="0"/>
    <cacheHierarchy uniqueName="[Calendar_table].[Month Name]" caption="Month Name" attribute="1" defaultMemberUniqueName="[Calendar_table].[Month Name].[All]" allUniqueName="[Calendar_table].[Month Name].[All]" dimensionUniqueName="[Calendar_table]" displayFolder="" count="0" memberValueDatatype="130" unbalanced="0"/>
    <cacheHierarchy uniqueName="[Calendar_table].[Week of Year]" caption="Week of Year" attribute="1" defaultMemberUniqueName="[Calendar_table].[Week of Year].[All]" allUniqueName="[Calendar_table].[Week of Year].[All]" dimensionUniqueName="[Calendar_table]" displayFolder="" count="0" memberValueDatatype="20" unbalanced="0"/>
    <cacheHierarchy uniqueName="[Calendar_table].[Week of Month]" caption="Week of Month" attribute="1" defaultMemberUniqueName="[Calendar_table].[Week of Month].[All]" allUniqueName="[Calendar_table].[Week of Month].[All]" dimensionUniqueName="[Calendar_table]" displayFolder="" count="0" memberValueDatatype="20" unbalanced="0"/>
    <cacheHierarchy uniqueName="[Calendar_table].[Day]" caption="Day" attribute="1" defaultMemberUniqueName="[Calendar_table].[Day].[All]" allUniqueName="[Calendar_table].[Day].[All]" dimensionUniqueName="[Calendar_table]" displayFolder="" count="0" memberValueDatatype="20" unbalanced="0"/>
    <cacheHierarchy uniqueName="[Calendar_table].[Day Name]" caption="Day Name" attribute="1" defaultMemberUniqueName="[Calendar_table].[Day Name].[All]" allUniqueName="[Calendar_table].[Day Name].[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lean_data].[Patient Id]" caption="Patient Id" attribute="1" defaultMemberUniqueName="[Clean_data].[Patient Id].[All]" allUniqueName="[Clean_data].[Patient Id].[All]" dimensionUniqueName="[Clean_data]" displayFolder="" count="0" memberValueDatatype="130" unbalanced="0"/>
    <cacheHierarchy uniqueName="[Clean_data].[Patient Admission Date]" caption="Patient Admission Date" attribute="1" time="1" defaultMemberUniqueName="[Clean_data].[Patient Admission Date].[All]" allUniqueName="[Clean_data].[Patient Admission Date].[All]" dimensionUniqueName="[Clean_data]" displayFolder="" count="0" memberValueDatatype="7" unbalanced="0"/>
    <cacheHierarchy uniqueName="[Clean_data].[Patient Admission Time]" caption="Patient Admission Time" attribute="1" time="1" defaultMemberUniqueName="[Clean_data].[Patient Admission Time].[All]" allUniqueName="[Clean_data].[Patient Admission Time].[All]" dimensionUniqueName="[Clean_data]" displayFolder="" count="0" memberValueDatatype="7" unbalanced="0"/>
    <cacheHierarchy uniqueName="[Clean_data].[Patient First Inital]" caption="Patient First Inital" attribute="1" defaultMemberUniqueName="[Clean_data].[Patient First Inital].[All]" allUniqueName="[Clean_data].[Patient First Inital].[All]" dimensionUniqueName="[Clean_data]" displayFolder="" count="0" memberValueDatatype="130" unbalanced="0"/>
    <cacheHierarchy uniqueName="[Clean_data].[Patient Last Name]" caption="Patient Last Name" attribute="1" defaultMemberUniqueName="[Clean_data].[Patient Last Name].[All]" allUniqueName="[Clean_data].[Patient Last Name].[All]" dimensionUniqueName="[Clean_data]" displayFolder="" count="0" memberValueDatatype="130" unbalanced="0"/>
    <cacheHierarchy uniqueName="[Clean_data].[Patient Gender]" caption="Patient Gender" attribute="1" defaultMemberUniqueName="[Clean_data].[Patient Gender].[All]" allUniqueName="[Clean_data].[Patient Gender].[All]" dimensionUniqueName="[Clean_data]" displayFolder="" count="0" memberValueDatatype="130" unbalanced="0"/>
    <cacheHierarchy uniqueName="[Clean_data].[Patient Age]" caption="Patient Age" attribute="1" defaultMemberUniqueName="[Clean_data].[Patient Age].[All]" allUniqueName="[Clean_data].[Patient Age].[All]" dimensionUniqueName="[Clean_data]" displayFolder="" count="0" memberValueDatatype="20" unbalanced="0"/>
    <cacheHierarchy uniqueName="[Clean_data].[Patient Race]" caption="Patient Race" attribute="1" defaultMemberUniqueName="[Clean_data].[Patient Race].[All]" allUniqueName="[Clean_data].[Patient Race].[All]" dimensionUniqueName="[Clean_data]" displayFolder="" count="0" memberValueDatatype="130" unbalanced="0"/>
    <cacheHierarchy uniqueName="[Clean_data].[Department Referral]" caption="Department Referral" attribute="1" defaultMemberUniqueName="[Clean_data].[Department Referral].[All]" allUniqueName="[Clean_data].[Department Referral].[All]" dimensionUniqueName="[Clean_data]" displayFolder="" count="0" memberValueDatatype="130" unbalanced="0"/>
    <cacheHierarchy uniqueName="[Clean_data].[Patient Admission Flag]" caption="Patient Admission Flag" attribute="1" defaultMemberUniqueName="[Clean_data].[Patient Admission Flag].[All]" allUniqueName="[Clean_data].[Patient Admission Flag].[All]" dimensionUniqueName="[Clean_data]" displayFolder="" count="0" memberValueDatatype="130" unbalanced="0"/>
    <cacheHierarchy uniqueName="[Clean_data].[Patient Satisfaction Score]" caption="Patient Satisfaction Score" attribute="1" defaultMemberUniqueName="[Clean_data].[Patient Satisfaction Score].[All]" allUniqueName="[Clean_data].[Patient Satisfaction Score].[All]" dimensionUniqueName="[Clean_data]" displayFolder="" count="0" memberValueDatatype="20" unbalanced="0"/>
    <cacheHierarchy uniqueName="[Clean_data].[Patient Waittime]" caption="Patient Waittime" attribute="1" defaultMemberUniqueName="[Clean_data].[Patient Waittime].[All]" allUniqueName="[Clean_data].[Patient Waittime].[All]" dimensionUniqueName="[Clean_data]" displayFolder="" count="0" memberValueDatatype="20" unbalanced="0"/>
    <cacheHierarchy uniqueName="[Clean_data].[Age Group]" caption="Age Group" attribute="1" defaultMemberUniqueName="[Clean_data].[Age Group].[All]" allUniqueName="[Clean_data].[Age Group].[All]" dimensionUniqueName="[Clean_data]" displayFolder="" count="0" memberValueDatatype="130" unbalanced="0"/>
    <cacheHierarchy uniqueName="[Clean_data].[Patient Attend Status]" caption="Patient Attend Status" attribute="1" defaultMemberUniqueName="[Clean_data].[Patient Attend Status].[All]" allUniqueName="[Clean_data].[Patient Attend Status].[All]" dimensionUniqueName="[Clean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lean_data]" caption="__XL_Count Clean_data" measure="1" displayFolder="" measureGroup="Clean_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Clean_data" count="0" hidden="1">
      <extLst>
        <ext xmlns:x15="http://schemas.microsoft.com/office/spreadsheetml/2010/11/main" uri="{B97F6D7D-B522-45F9-BDA1-12C45D357490}">
          <x15:cacheHierarchy aggregatedColumn="10"/>
        </ext>
      </extLst>
    </cacheHierarchy>
    <cacheHierarchy uniqueName="[Measures].[Sum of Patient Waittime]" caption="Sum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Average of Patient Waittime]" caption="Average of Patient Waittime" measure="1" displayFolder="" measureGroup="Clean_data" count="0" hidden="1">
      <extLst>
        <ext xmlns:x15="http://schemas.microsoft.com/office/spreadsheetml/2010/11/main" uri="{B97F6D7D-B522-45F9-BDA1-12C45D357490}">
          <x15:cacheHierarchy aggregatedColumn="21"/>
        </ext>
      </extLst>
    </cacheHierarchy>
    <cacheHierarchy uniqueName="[Measures].[Sum of Patient Satisfaction Score]" caption="Sum of Patient Satisfaction Score" measure="1" displayFolder="" measureGroup="Clean_data" count="0" hidden="1">
      <extLst>
        <ext xmlns:x15="http://schemas.microsoft.com/office/spreadsheetml/2010/11/main" uri="{B97F6D7D-B522-45F9-BDA1-12C45D357490}">
          <x15:cacheHierarchy aggregatedColumn="20"/>
        </ext>
      </extLst>
    </cacheHierarchy>
    <cacheHierarchy uniqueName="[Measures].[Average of Patient Satisfaction Score]" caption="Average of Patient Satisfaction Score" measure="1" displayFolder="" measureGroup="Clean_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90950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0D251-8712-4704-A196-AC41F250BB23}" name="PivotTable9" cacheId="268" applyNumberFormats="0" applyBorderFormats="0" applyFontFormats="0" applyPatternFormats="0" applyAlignmentFormats="0" applyWidthHeightFormats="1" dataCaption="Values" tag="4473f7ed-8781-47bc-8eef-a6aaf18accc4" updatedVersion="8" minRefreshableVersion="3" useAutoFormatting="1" subtotalHiddenItems="1" rowGrandTotals="0" colGrandTotals="0" itemPrintTitles="1" createdVersion="8" indent="0" compact="0" compactData="0" multipleFieldFilters="0" chartFormat="22">
  <location ref="C130:E161" firstHeaderRow="1" firstDataRow="1" firstDataCol="2"/>
  <pivotFields count="4">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Satisfaction Score" fld="2" subtotal="average" baseField="0" baseItem="1"/>
  </dataFields>
  <formats count="3">
    <format dxfId="499">
      <pivotArea type="all" dataOnly="0" outline="0" fieldPosition="0"/>
    </format>
    <format dxfId="498">
      <pivotArea outline="0" collapsedLevelsAreSubtotals="1" fieldPosition="0"/>
    </format>
    <format dxfId="497">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1CADF3-9C42-4A2F-AB5C-F992CE0EFE65}" name="PivotTable8" cacheId="265" applyNumberFormats="0" applyBorderFormats="0" applyFontFormats="0" applyPatternFormats="0" applyAlignmentFormats="0" applyWidthHeightFormats="1" dataCaption="Values" tag="d064e478-b1f5-4cfd-bc54-3ec1194796e8" updatedVersion="8" minRefreshableVersion="3" useAutoFormatting="1" subtotalHiddenItems="1" rowGrandTotals="0" colGrandTotals="0" itemPrintTitles="1" createdVersion="8" indent="0" compact="0" compactData="0" multipleFieldFilters="0" chartFormat="18">
  <location ref="L93:N124" firstHeaderRow="1" firstDataRow="1" firstDataCol="2"/>
  <pivotFields count="4">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Waittime" fld="2" subtotal="average" baseField="0" baseItem="1" numFmtId="164"/>
  </dataFields>
  <formats count="3">
    <format dxfId="502">
      <pivotArea type="all" dataOnly="0" outline="0" fieldPosition="0"/>
    </format>
    <format dxfId="501">
      <pivotArea outline="0" collapsedLevelsAreSubtotals="1" fieldPosition="0"/>
    </format>
    <format dxfId="500">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FF796-F717-49A5-8484-712A626EAF1C}" name="PivotTable1" cacheId="27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12:G13" firstHeaderRow="0" firstDataRow="1" firstDataCol="0"/>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name="Total Patient" fld="0" subtotal="count" baseField="0" baseItem="1"/>
    <dataField name="Avg Patient Waittime" fld="1" subtotal="average" baseField="0" baseItem="1" numFmtId="2"/>
    <dataField name="Avg Patient Satisfaction Score" fld="2" subtotal="average" baseField="0" baseItem="2" numFmtId="2"/>
    <dataField name="Average of Patient Age" fld="3" subtotal="average" baseField="0" baseItem="2" numFmtId="164"/>
  </dataFields>
  <formats count="9">
    <format dxfId="511">
      <pivotArea outline="0" fieldPosition="0">
        <references count="1">
          <reference field="4294967294" count="1" selected="0">
            <x v="1"/>
          </reference>
        </references>
      </pivotArea>
    </format>
    <format dxfId="510">
      <pivotArea outline="0" fieldPosition="0">
        <references count="1">
          <reference field="4294967294" count="1" selected="0">
            <x v="2"/>
          </reference>
        </references>
      </pivotArea>
    </format>
    <format dxfId="509">
      <pivotArea type="all" dataOnly="0" outline="0" fieldPosition="0"/>
    </format>
    <format dxfId="508">
      <pivotArea outline="0" collapsedLevelsAreSubtotals="1" fieldPosition="0"/>
    </format>
    <format dxfId="507">
      <pivotArea dataOnly="0" labelOnly="1" outline="0" fieldPosition="0">
        <references count="1">
          <reference field="4294967294" count="3">
            <x v="0"/>
            <x v="1"/>
            <x v="2"/>
          </reference>
        </references>
      </pivotArea>
    </format>
    <format dxfId="506">
      <pivotArea outline="0" fieldPosition="0">
        <references count="1">
          <reference field="4294967294" count="1" selected="0">
            <x v="3"/>
          </reference>
        </references>
      </pivotArea>
    </format>
    <format dxfId="505">
      <pivotArea type="all" dataOnly="0" outline="0" fieldPosition="0"/>
    </format>
    <format dxfId="504">
      <pivotArea outline="0" collapsedLevelsAreSubtotals="1" fieldPosition="0"/>
    </format>
    <format dxfId="503">
      <pivotArea dataOnly="0" labelOnly="1" outline="0" fieldPosition="0">
        <references count="1">
          <reference field="4294967294" count="4">
            <x v="0"/>
            <x v="1"/>
            <x v="2"/>
            <x v="3"/>
          </reference>
        </references>
      </pivotArea>
    </format>
  </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g Patient Waittime"/>
    <pivotHierarchy dragToData="1"/>
    <pivotHierarchy dragToData="1" caption="Avg Patient Satisfaction Score"/>
    <pivotHierarchy dragToData="1"/>
    <pivotHierarchy dragToData="1" caption="Average of Patient 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D84F0C-5C23-4B69-99E1-02EA98C9A8F6}" name="PivotTable3" cacheId="247" applyNumberFormats="0" applyBorderFormats="0" applyFontFormats="0" applyPatternFormats="0" applyAlignmentFormats="0" applyWidthHeightFormats="1" dataCaption="Values" tag="c1156617-d24d-4504-a484-1b0db0fb71a7" updatedVersion="8" minRefreshableVersion="3" useAutoFormatting="1" subtotalHiddenItems="1" rowGrandTotals="0" colGrandTotals="0" itemPrintTitles="1" createdVersion="8" indent="0" compact="0" compactData="0" multipleFieldFilters="0" chartFormat="14">
  <location ref="H23:J54" firstHeaderRow="1" firstDataRow="1" firstDataCol="2"/>
  <pivotFields count="4">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2">
    <field x="1"/>
    <field x="0"/>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Average of Patient Age" fld="2" subtotal="average" baseField="0" baseItem="0"/>
  </dataFields>
  <formats count="3">
    <format dxfId="514">
      <pivotArea type="all" dataOnly="0" outline="0" fieldPosition="0"/>
    </format>
    <format dxfId="513">
      <pivotArea outline="0" collapsedLevelsAreSubtotals="1" fieldPosition="0"/>
    </format>
    <format dxfId="512">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caption="Average of Patient Age"/>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AAFD1D-937A-498F-9361-55801B5F6549}" name="PivotTable2" cacheId="24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3">
  <location ref="D23:F54" firstHeaderRow="1" firstDataRow="1" firstDataCol="2"/>
  <pivotFields count="4">
    <pivotField dataField="1" compact="0" outline="0" subtotalTop="0" showAll="0" defaultSubtotal="0"/>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2">
    <field x="2"/>
    <field x="1"/>
  </rowFields>
  <rowItems count="3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rowItems>
  <colItems count="1">
    <i/>
  </colItems>
  <dataFields count="1">
    <dataField name="Count of Patient Id" fld="0" subtotal="count" baseField="0" baseItem="0"/>
  </dataFields>
  <formats count="2">
    <format dxfId="516">
      <pivotArea type="all" dataOnly="0" outline="0" fieldPosition="0"/>
    </format>
    <format dxfId="515">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g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E99CCF-9EC7-47D5-AE83-0F3E0A8A839C}" name="PivotTable7" cacheId="262" applyNumberFormats="0" applyBorderFormats="0" applyFontFormats="0" applyPatternFormats="0" applyAlignmentFormats="0" applyWidthHeightFormats="1" dataCaption="Values" tag="20d9dafa-d80b-49e4-8111-59fe19ae2a34" updatedVersion="8" minRefreshableVersion="3" useAutoFormatting="1" subtotalHiddenItems="1" rowGrandTotals="0" colGrandTotals="0" itemPrintTitles="1" createdVersion="8" indent="0" compact="0" compactData="0" multipleFieldFilters="0" chartFormat="31">
  <location ref="D91:E99"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8">
    <i>
      <x v="7"/>
    </i>
    <i>
      <x v="3"/>
    </i>
    <i>
      <x v="1"/>
    </i>
    <i>
      <x/>
    </i>
    <i>
      <x v="6"/>
    </i>
    <i>
      <x v="5"/>
    </i>
    <i>
      <x v="2"/>
    </i>
    <i>
      <x v="4"/>
    </i>
  </rowItems>
  <colItems count="1">
    <i/>
  </colItems>
  <dataFields count="1">
    <dataField name="Count of Patient Id" fld="1" subtotal="count" baseField="0" baseItem="0" numFmtId="1"/>
  </dataFields>
  <formats count="7">
    <format dxfId="523">
      <pivotArea type="all" dataOnly="0" outline="0" fieldPosition="0"/>
    </format>
    <format dxfId="522">
      <pivotArea outline="0" collapsedLevelsAreSubtotals="1" fieldPosition="0"/>
    </format>
    <format dxfId="521">
      <pivotArea outline="0" collapsedLevelsAreSubtotals="1" fieldPosition="0"/>
    </format>
    <format dxfId="520">
      <pivotArea type="all" dataOnly="0" outline="0" fieldPosition="0"/>
    </format>
    <format dxfId="519">
      <pivotArea outline="0" collapsedLevelsAreSubtotals="1" fieldPosition="0"/>
    </format>
    <format dxfId="518">
      <pivotArea dataOnly="0" labelOnly="1" outline="0" axis="axisValues" fieldPosition="0"/>
    </format>
    <format dxfId="517">
      <pivotArea outline="0" collapsedLevelsAreSubtotals="1" fieldPosition="0"/>
    </format>
  </formats>
  <chartFormats count="10">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5A181-5B3F-48F0-ABFB-1E43B82116C3}" name="PivotTable6" cacheId="25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36">
  <location ref="L53:M60"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s>
  <rowFields count="1">
    <field x="2"/>
  </rowFields>
  <rowItems count="7">
    <i>
      <x/>
    </i>
    <i>
      <x v="1"/>
    </i>
    <i>
      <x v="2"/>
    </i>
    <i>
      <x v="3"/>
    </i>
    <i>
      <x v="4"/>
    </i>
    <i>
      <x v="5"/>
    </i>
    <i>
      <x v="6"/>
    </i>
  </rowItems>
  <colItems count="1">
    <i/>
  </colItems>
  <dataFields count="1">
    <dataField name="Count of Patient Id" fld="1" subtotal="count" baseField="0" baseItem="0" numFmtId="1"/>
  </dataFields>
  <formats count="7">
    <format dxfId="530">
      <pivotArea type="all" dataOnly="0" outline="0" fieldPosition="0"/>
    </format>
    <format dxfId="529">
      <pivotArea outline="0" collapsedLevelsAreSubtotals="1" fieldPosition="0"/>
    </format>
    <format dxfId="528">
      <pivotArea outline="0" collapsedLevelsAreSubtotals="1" fieldPosition="0"/>
    </format>
    <format dxfId="527">
      <pivotArea type="all" dataOnly="0" outline="0" fieldPosition="0"/>
    </format>
    <format dxfId="526">
      <pivotArea outline="0" collapsedLevelsAreSubtotals="1" fieldPosition="0"/>
    </format>
    <format dxfId="525">
      <pivotArea dataOnly="0" labelOnly="1" outline="0" axis="axisValues" fieldPosition="0"/>
    </format>
    <format dxfId="524">
      <pivotArea outline="0" collapsedLevelsAreSubtotals="1" fieldPosition="0"/>
    </format>
  </formats>
  <chartFormats count="11">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7FEAF6-29A2-4F63-9E1B-681D8BC92BC8}" name="PivotTable5" cacheId="253" applyNumberFormats="0" applyBorderFormats="0" applyFontFormats="0" applyPatternFormats="0" applyAlignmentFormats="0" applyWidthHeightFormats="1" dataCaption="Values" tag="ec3afe02-5857-48ca-b34c-6987e28ef932" updatedVersion="8" minRefreshableVersion="3" useAutoFormatting="1" subtotalHiddenItems="1" rowGrandTotals="0" colGrandTotals="0" itemPrintTitles="1" createdVersion="8" indent="0" compact="0" compactData="0" multipleFieldFilters="0" chartFormat="27">
  <location ref="K14:L16" firstHeaderRow="1" firstDataRow="1" firstDataCol="1"/>
  <pivotFields count="4">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Count of Patient Id" fld="1" subtotal="count" baseField="0" baseItem="0" numFmtId="1"/>
  </dataFields>
  <formats count="7">
    <format dxfId="537">
      <pivotArea type="all" dataOnly="0" outline="0" fieldPosition="0"/>
    </format>
    <format dxfId="536">
      <pivotArea outline="0" collapsedLevelsAreSubtotals="1" fieldPosition="0"/>
    </format>
    <format dxfId="535">
      <pivotArea outline="0" collapsedLevelsAreSubtotals="1" fieldPosition="0"/>
    </format>
    <format dxfId="534">
      <pivotArea type="all" dataOnly="0" outline="0" fieldPosition="0"/>
    </format>
    <format dxfId="533">
      <pivotArea outline="0" collapsedLevelsAreSubtotals="1" fieldPosition="0"/>
    </format>
    <format dxfId="532">
      <pivotArea dataOnly="0" labelOnly="1" outline="0" axis="axisValues" fieldPosition="0"/>
    </format>
    <format dxfId="531">
      <pivotArea outline="0" collapsedLevelsAreSubtotals="1" fieldPosition="0"/>
    </format>
  </formats>
  <chartFormats count="16">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2" count="1" selected="0">
            <x v="1"/>
          </reference>
        </references>
      </pivotArea>
    </chartFormat>
    <chartFormat chart="23" format="2">
      <pivotArea type="data" outline="0" fieldPosition="0">
        <references count="2">
          <reference field="4294967294" count="1" selected="0">
            <x v="0"/>
          </reference>
          <reference field="2" count="1" selected="0">
            <x v="0"/>
          </reference>
        </references>
      </pivotArea>
    </chartFormat>
    <chartFormat chart="24" format="3" series="1">
      <pivotArea type="data" outline="0" fieldPosition="0">
        <references count="1">
          <reference field="4294967294" count="1" selected="0">
            <x v="0"/>
          </reference>
        </references>
      </pivotArea>
    </chartFormat>
    <chartFormat chart="24" format="4">
      <pivotArea type="data" outline="0" fieldPosition="0">
        <references count="2">
          <reference field="4294967294" count="1" selected="0">
            <x v="0"/>
          </reference>
          <reference field="2" count="1" selected="0">
            <x v="0"/>
          </reference>
        </references>
      </pivotArea>
    </chartFormat>
    <chartFormat chart="24" format="5">
      <pivotArea type="data" outline="0" fieldPosition="0">
        <references count="2">
          <reference field="4294967294" count="1" selected="0">
            <x v="0"/>
          </reference>
          <reference field="2"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AA0DD5-1A65-4E1A-B8DB-00DDF5CC6589}" name="PivotTable4" cacheId="250" applyNumberFormats="0" applyBorderFormats="0" applyFontFormats="0" applyPatternFormats="0" applyAlignmentFormats="0" applyWidthHeightFormats="1" dataCaption="Values" tag="4b0e22b5-bb36-4084-9937-2e616fd2f596" updatedVersion="8" minRefreshableVersion="3" useAutoFormatting="1" subtotalHiddenItems="1" rowGrandTotals="0" colGrandTotals="0" itemPrintTitles="1" createdVersion="8" indent="0" compact="0" compactData="0" multipleFieldFilters="0" chartFormat="29">
  <location ref="K8:L10" firstHeaderRow="1" firstDataRow="1" firstDataCol="1"/>
  <pivotFields count="3">
    <pivotField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2">
    <i>
      <x/>
    </i>
    <i>
      <x v="1"/>
    </i>
  </rowItems>
  <colItems count="1">
    <i/>
  </colItems>
  <dataFields count="1">
    <dataField name="Count of Patient Id" fld="2" subtotal="count" baseField="0" baseItem="0" numFmtId="1"/>
  </dataFields>
  <formats count="9">
    <format dxfId="546">
      <pivotArea type="all" dataOnly="0" outline="0" fieldPosition="0"/>
    </format>
    <format dxfId="545">
      <pivotArea outline="0" collapsedLevelsAreSubtotals="1" fieldPosition="0"/>
    </format>
    <format dxfId="544">
      <pivotArea outline="0" collapsedLevelsAreSubtotals="1" fieldPosition="0"/>
    </format>
    <format dxfId="543">
      <pivotArea type="all" dataOnly="0" outline="0" fieldPosition="0"/>
    </format>
    <format dxfId="542">
      <pivotArea outline="0" collapsedLevelsAreSubtotals="1" fieldPosition="0"/>
    </format>
    <format dxfId="541">
      <pivotArea field="1" type="button" dataOnly="0" labelOnly="1" outline="0" axis="axisRow" fieldPosition="0"/>
    </format>
    <format dxfId="540">
      <pivotArea dataOnly="0" labelOnly="1" outline="0" fieldPosition="0">
        <references count="1">
          <reference field="1" count="0"/>
        </references>
      </pivotArea>
    </format>
    <format dxfId="539">
      <pivotArea dataOnly="0" labelOnly="1" outline="0" axis="axisValues" fieldPosition="0"/>
    </format>
    <format dxfId="538">
      <pivotArea outline="0" collapsedLevelsAreSubtotals="1" fieldPosition="0"/>
    </format>
  </formats>
  <chartFormats count="18">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1" count="1" selected="0">
            <x v="0"/>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 count="1" selected="0">
            <x v="0"/>
          </reference>
        </references>
      </pivotArea>
    </chartFormat>
    <chartFormat chart="18" format="8">
      <pivotArea type="data" outline="0" fieldPosition="0">
        <references count="2">
          <reference field="4294967294" count="1" selected="0">
            <x v="0"/>
          </reference>
          <reference field="1"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0"/>
          </reference>
        </references>
      </pivotArea>
    </chartFormat>
    <chartFormat chart="25" format="14">
      <pivotArea type="data" outline="0" fieldPosition="0">
        <references count="2">
          <reference field="4294967294" count="1" selected="0">
            <x v="0"/>
          </reference>
          <reference field="1" count="1" selected="0">
            <x v="1"/>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1" count="1" selected="0">
            <x v="0"/>
          </reference>
        </references>
      </pivotArea>
    </chartFormat>
    <chartFormat chart="28" format="14">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09D67A-D206-40E9-ACC9-239680165305}" name="PivotTable1" cacheId="259" applyNumberFormats="0" applyBorderFormats="0" applyFontFormats="0" applyPatternFormats="0" applyAlignmentFormats="0" applyWidthHeightFormats="1" dataCaption="Values" tag="806621c1-c593-4b49-af76-3dac53f3109f" updatedVersion="8" minRefreshableVersion="3" useAutoFormatting="1" subtotalHiddenItems="1" rowGrandTotals="0" colGrandTotals="0" itemPrintTitles="1" createdVersion="8" indent="0" compact="0" compactData="0" multipleFieldFilters="0" chartFormat="27">
  <location ref="G12:H14" firstHeaderRow="1" firstDataRow="1" firstDataCol="1"/>
  <pivotFields count="4">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Count of Patient Id" fld="1" subtotal="count" baseField="0" baseItem="0" numFmtId="1"/>
  </dataFields>
  <formats count="7">
    <format dxfId="496">
      <pivotArea type="all" dataOnly="0" outline="0" fieldPosition="0"/>
    </format>
    <format dxfId="495">
      <pivotArea outline="0" collapsedLevelsAreSubtotals="1" fieldPosition="0"/>
    </format>
    <format dxfId="494">
      <pivotArea outline="0" collapsedLevelsAreSubtotals="1" fieldPosition="0"/>
    </format>
    <format dxfId="493">
      <pivotArea type="all" dataOnly="0" outline="0" fieldPosition="0"/>
    </format>
    <format dxfId="492">
      <pivotArea outline="0" collapsedLevelsAreSubtotals="1" fieldPosition="0"/>
    </format>
    <format dxfId="491">
      <pivotArea dataOnly="0" labelOnly="1" outline="0" axis="axisValues" fieldPosition="0"/>
    </format>
    <format dxfId="490">
      <pivotArea outline="0" collapsedLevelsAreSubtotals="1" fieldPosition="0"/>
    </format>
  </formats>
  <chartFormats count="8">
    <chartFormat chart="14"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Calendar_table].[Date (Year)].&amp;[2024]"/>
      </members>
    </pivotHierarchy>
    <pivotHierarchy dragToData="1"/>
    <pivotHierarchy multipleItemSelectionAllowed="1" dragToData="1">
      <members count="1" level="1">
        <member name="[Calenda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atient"/>
    <pivotHierarchy dragToData="1"/>
    <pivotHierarchy dragToData="1" caption="Average of Patient Waittime"/>
    <pivotHierarchy dragToData="1"/>
    <pivotHierarchy dragToData="1" caption="Avg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1E29452-D9EC-4A70-9097-B1D589AC7D68}" sourceName="[Calendar_table].[Date (Month)]">
  <pivotTables>
    <pivotTable tabId="2" name="PivotTable2"/>
    <pivotTable tabId="2" name="PivotTable3"/>
    <pivotTable tabId="2" name="PivotTable4"/>
    <pivotTable tabId="2" name="PivotTable5"/>
    <pivotTable tabId="2" name="PivotTable6"/>
    <pivotTable tabId="3" name="PivotTable1"/>
    <pivotTable tabId="2" name="PivotTable7"/>
    <pivotTable tabId="2" name="PivotTable8"/>
    <pivotTable tabId="2" name="PivotTable9"/>
    <pivotTable tabId="2" name="PivotTable1"/>
  </pivotTables>
  <data>
    <olap pivotCacheId="59095004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0541EB2-77BB-45E5-8D54-C80B89B196E4}" sourceName="[Calendar_table].[Date (Year)]">
  <pivotTables>
    <pivotTable tabId="2" name="PivotTable5"/>
    <pivotTable tabId="2" name="PivotTable1"/>
    <pivotTable tabId="2" name="PivotTable2"/>
    <pivotTable tabId="2" name="PivotTable3"/>
    <pivotTable tabId="2" name="PivotTable8"/>
    <pivotTable tabId="2" name="PivotTable9"/>
    <pivotTable tabId="3" name="PivotTable1"/>
  </pivotTables>
  <data>
    <olap pivotCacheId="59095004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764A0F7-0234-460F-98C2-5FD1372D2DD2}" cache="Slicer_Date__Month" caption="Date (Month)" showCaption="0" level="1" style="SlicerStyleLight1 2" rowHeight="247650"/>
  <slicer name="Date (Year)" xr10:uid="{03285B1A-9F67-4C44-B420-47FBD27C69AE}" cache="Slicer_Date__Year" caption="Date (Year)" showCaption="0" level="1"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5B9F-B14B-4FA4-ADF1-37CF80F250ED}">
  <sheetPr>
    <tabColor theme="5"/>
  </sheetPr>
  <dimension ref="A1"/>
  <sheetViews>
    <sheetView showGridLines="0" tabSelected="1" zoomScale="70" zoomScaleNormal="70" workbookViewId="0">
      <selection activeCell="I52" sqref="I52"/>
    </sheetView>
  </sheetViews>
  <sheetFormatPr defaultRowHeight="14.4" x14ac:dyDescent="0.3"/>
  <cols>
    <col min="1" max="16384" width="8.88671875" style="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89D7-C057-4BE7-A40A-E35351389D5C}">
  <sheetPr>
    <tabColor theme="3"/>
  </sheetPr>
  <dimension ref="C7:O161"/>
  <sheetViews>
    <sheetView showGridLines="0" zoomScale="70" zoomScaleNormal="70" workbookViewId="0">
      <selection activeCell="B16" sqref="B16"/>
    </sheetView>
  </sheetViews>
  <sheetFormatPr defaultRowHeight="14.4" x14ac:dyDescent="0.3"/>
  <cols>
    <col min="3" max="3" width="13.5546875" bestFit="1" customWidth="1"/>
    <col min="4" max="4" width="11.6640625" bestFit="1" customWidth="1"/>
    <col min="5" max="5" width="18.5546875" bestFit="1" customWidth="1"/>
    <col min="6" max="6" width="26.44140625" bestFit="1" customWidth="1"/>
    <col min="7" max="7" width="20.109375" bestFit="1" customWidth="1"/>
    <col min="8" max="8" width="17.6640625" bestFit="1" customWidth="1"/>
    <col min="9" max="9" width="10.109375" bestFit="1" customWidth="1"/>
    <col min="10" max="10" width="20.109375" bestFit="1" customWidth="1"/>
    <col min="11" max="11" width="22.33203125" bestFit="1" customWidth="1"/>
    <col min="12" max="12" width="13" bestFit="1" customWidth="1"/>
    <col min="13" max="13" width="10.109375" bestFit="1" customWidth="1"/>
    <col min="14" max="14" width="24.6640625" bestFit="1" customWidth="1"/>
    <col min="15" max="735" width="16.5546875" bestFit="1" customWidth="1"/>
    <col min="736" max="9218" width="16.88671875" bestFit="1" customWidth="1"/>
    <col min="9219" max="9219" width="11" bestFit="1" customWidth="1"/>
  </cols>
  <sheetData>
    <row r="7" spans="4:12" x14ac:dyDescent="0.3">
      <c r="K7" s="27" t="s">
        <v>13</v>
      </c>
      <c r="L7" s="27"/>
    </row>
    <row r="8" spans="4:12" x14ac:dyDescent="0.3">
      <c r="K8" s="17" t="s">
        <v>10</v>
      </c>
      <c r="L8" s="18" t="s">
        <v>6</v>
      </c>
    </row>
    <row r="9" spans="4:12" ht="14.4" customHeight="1" x14ac:dyDescent="0.3">
      <c r="D9" s="28" t="s">
        <v>0</v>
      </c>
      <c r="E9" s="29"/>
      <c r="F9" s="29"/>
      <c r="G9" s="30"/>
      <c r="K9" s="18" t="s">
        <v>11</v>
      </c>
      <c r="L9" s="19">
        <v>460</v>
      </c>
    </row>
    <row r="10" spans="4:12" ht="14.4" customHeight="1" x14ac:dyDescent="0.3">
      <c r="D10" s="31"/>
      <c r="E10" s="32"/>
      <c r="F10" s="32"/>
      <c r="G10" s="33"/>
      <c r="K10" s="18" t="s">
        <v>12</v>
      </c>
      <c r="L10" s="19">
        <v>492</v>
      </c>
    </row>
    <row r="11" spans="4:12" ht="14.4" customHeight="1" x14ac:dyDescent="0.3">
      <c r="D11" s="34"/>
      <c r="E11" s="35"/>
      <c r="F11" s="35"/>
      <c r="G11" s="36"/>
    </row>
    <row r="12" spans="4:12" x14ac:dyDescent="0.3">
      <c r="D12" s="1" t="s">
        <v>1</v>
      </c>
      <c r="E12" s="3" t="s">
        <v>2</v>
      </c>
      <c r="F12" s="4" t="s">
        <v>3</v>
      </c>
      <c r="G12" s="5" t="s">
        <v>5</v>
      </c>
    </row>
    <row r="13" spans="4:12" x14ac:dyDescent="0.3">
      <c r="D13" s="41">
        <v>488</v>
      </c>
      <c r="E13" s="2">
        <v>35.19877049180328</v>
      </c>
      <c r="F13" s="2">
        <v>4.7876712328767121</v>
      </c>
      <c r="G13" s="6">
        <v>40.508196721311478</v>
      </c>
      <c r="K13" s="27" t="s">
        <v>18</v>
      </c>
      <c r="L13" s="27"/>
    </row>
    <row r="14" spans="4:12" x14ac:dyDescent="0.3">
      <c r="K14" s="17" t="s">
        <v>14</v>
      </c>
      <c r="L14" s="18" t="s">
        <v>6</v>
      </c>
    </row>
    <row r="15" spans="4:12" x14ac:dyDescent="0.3">
      <c r="K15" s="18" t="s">
        <v>15</v>
      </c>
      <c r="L15" s="19">
        <v>305</v>
      </c>
    </row>
    <row r="16" spans="4:12" x14ac:dyDescent="0.3">
      <c r="K16" s="18" t="s">
        <v>16</v>
      </c>
      <c r="L16" s="19">
        <v>183</v>
      </c>
    </row>
    <row r="22" spans="4:10" x14ac:dyDescent="0.3">
      <c r="D22" s="27" t="s">
        <v>8</v>
      </c>
      <c r="E22" s="27"/>
      <c r="F22" s="27"/>
      <c r="H22" s="27" t="s">
        <v>46</v>
      </c>
      <c r="I22" s="27"/>
      <c r="J22" s="27"/>
    </row>
    <row r="23" spans="4:10" x14ac:dyDescent="0.3">
      <c r="D23" s="8" t="s">
        <v>4</v>
      </c>
      <c r="E23" s="11" t="s">
        <v>7</v>
      </c>
      <c r="F23" s="5" t="s">
        <v>6</v>
      </c>
      <c r="H23" s="8" t="s">
        <v>4</v>
      </c>
      <c r="I23" s="11" t="s">
        <v>7</v>
      </c>
      <c r="J23" s="5" t="s">
        <v>5</v>
      </c>
    </row>
    <row r="24" spans="4:10" x14ac:dyDescent="0.3">
      <c r="D24" s="9" t="s">
        <v>36</v>
      </c>
      <c r="E24" s="37">
        <v>45474</v>
      </c>
      <c r="F24" s="38">
        <v>17</v>
      </c>
      <c r="H24" s="9" t="s">
        <v>36</v>
      </c>
      <c r="I24" s="37">
        <v>45474</v>
      </c>
      <c r="J24" s="13">
        <v>28.588235294117649</v>
      </c>
    </row>
    <row r="25" spans="4:10" x14ac:dyDescent="0.3">
      <c r="D25" s="9"/>
      <c r="E25" s="37">
        <v>45475</v>
      </c>
      <c r="F25" s="39">
        <v>19</v>
      </c>
      <c r="H25" s="9"/>
      <c r="I25" s="37">
        <v>45475</v>
      </c>
      <c r="J25" s="14">
        <v>42.315789473684212</v>
      </c>
    </row>
    <row r="26" spans="4:10" x14ac:dyDescent="0.3">
      <c r="D26" s="9"/>
      <c r="E26" s="37">
        <v>45476</v>
      </c>
      <c r="F26" s="39">
        <v>12</v>
      </c>
      <c r="H26" s="9"/>
      <c r="I26" s="37">
        <v>45476</v>
      </c>
      <c r="J26" s="14">
        <v>37.916666666666664</v>
      </c>
    </row>
    <row r="27" spans="4:10" x14ac:dyDescent="0.3">
      <c r="D27" s="9"/>
      <c r="E27" s="37">
        <v>45477</v>
      </c>
      <c r="F27" s="39">
        <v>9</v>
      </c>
      <c r="H27" s="9"/>
      <c r="I27" s="37">
        <v>45477</v>
      </c>
      <c r="J27" s="14">
        <v>40.222222222222221</v>
      </c>
    </row>
    <row r="28" spans="4:10" x14ac:dyDescent="0.3">
      <c r="D28" s="9"/>
      <c r="E28" s="37">
        <v>45478</v>
      </c>
      <c r="F28" s="39">
        <v>15</v>
      </c>
      <c r="H28" s="9"/>
      <c r="I28" s="37">
        <v>45478</v>
      </c>
      <c r="J28" s="14">
        <v>24.333333333333332</v>
      </c>
    </row>
    <row r="29" spans="4:10" x14ac:dyDescent="0.3">
      <c r="D29" s="9"/>
      <c r="E29" s="37">
        <v>45479</v>
      </c>
      <c r="F29" s="39">
        <v>10</v>
      </c>
      <c r="H29" s="9"/>
      <c r="I29" s="37">
        <v>45479</v>
      </c>
      <c r="J29" s="14">
        <v>42.2</v>
      </c>
    </row>
    <row r="30" spans="4:10" x14ac:dyDescent="0.3">
      <c r="D30" s="9"/>
      <c r="E30" s="37">
        <v>45480</v>
      </c>
      <c r="F30" s="39">
        <v>18</v>
      </c>
      <c r="H30" s="9"/>
      <c r="I30" s="37">
        <v>45480</v>
      </c>
      <c r="J30" s="14">
        <v>48.222222222222221</v>
      </c>
    </row>
    <row r="31" spans="4:10" x14ac:dyDescent="0.3">
      <c r="D31" s="9"/>
      <c r="E31" s="37">
        <v>45481</v>
      </c>
      <c r="F31" s="39">
        <v>19</v>
      </c>
      <c r="H31" s="9"/>
      <c r="I31" s="37">
        <v>45481</v>
      </c>
      <c r="J31" s="14">
        <v>49.263157894736842</v>
      </c>
    </row>
    <row r="32" spans="4:10" x14ac:dyDescent="0.3">
      <c r="D32" s="9"/>
      <c r="E32" s="37">
        <v>45482</v>
      </c>
      <c r="F32" s="39">
        <v>19</v>
      </c>
      <c r="H32" s="9"/>
      <c r="I32" s="37">
        <v>45482</v>
      </c>
      <c r="J32" s="14">
        <v>41.263157894736842</v>
      </c>
    </row>
    <row r="33" spans="4:10" x14ac:dyDescent="0.3">
      <c r="D33" s="9"/>
      <c r="E33" s="37">
        <v>45483</v>
      </c>
      <c r="F33" s="39">
        <v>13</v>
      </c>
      <c r="H33" s="9"/>
      <c r="I33" s="37">
        <v>45483</v>
      </c>
      <c r="J33" s="14">
        <v>44</v>
      </c>
    </row>
    <row r="34" spans="4:10" x14ac:dyDescent="0.3">
      <c r="D34" s="9"/>
      <c r="E34" s="37">
        <v>45484</v>
      </c>
      <c r="F34" s="39">
        <v>15</v>
      </c>
      <c r="H34" s="9"/>
      <c r="I34" s="37">
        <v>45484</v>
      </c>
      <c r="J34" s="14">
        <v>45.333333333333336</v>
      </c>
    </row>
    <row r="35" spans="4:10" x14ac:dyDescent="0.3">
      <c r="D35" s="9"/>
      <c r="E35" s="37">
        <v>45485</v>
      </c>
      <c r="F35" s="39">
        <v>25</v>
      </c>
      <c r="H35" s="9"/>
      <c r="I35" s="37">
        <v>45485</v>
      </c>
      <c r="J35" s="14">
        <v>44.84</v>
      </c>
    </row>
    <row r="36" spans="4:10" x14ac:dyDescent="0.3">
      <c r="D36" s="9"/>
      <c r="E36" s="37">
        <v>45486</v>
      </c>
      <c r="F36" s="39">
        <v>19</v>
      </c>
      <c r="H36" s="9"/>
      <c r="I36" s="37">
        <v>45486</v>
      </c>
      <c r="J36" s="14">
        <v>35.210526315789473</v>
      </c>
    </row>
    <row r="37" spans="4:10" x14ac:dyDescent="0.3">
      <c r="D37" s="9"/>
      <c r="E37" s="37">
        <v>45487</v>
      </c>
      <c r="F37" s="39">
        <v>15</v>
      </c>
      <c r="H37" s="9"/>
      <c r="I37" s="37">
        <v>45487</v>
      </c>
      <c r="J37" s="14">
        <v>42.333333333333336</v>
      </c>
    </row>
    <row r="38" spans="4:10" x14ac:dyDescent="0.3">
      <c r="D38" s="9"/>
      <c r="E38" s="37">
        <v>45488</v>
      </c>
      <c r="F38" s="39">
        <v>14</v>
      </c>
      <c r="H38" s="9"/>
      <c r="I38" s="37">
        <v>45488</v>
      </c>
      <c r="J38" s="14">
        <v>37.642857142857146</v>
      </c>
    </row>
    <row r="39" spans="4:10" x14ac:dyDescent="0.3">
      <c r="D39" s="9"/>
      <c r="E39" s="37">
        <v>45489</v>
      </c>
      <c r="F39" s="39">
        <v>20</v>
      </c>
      <c r="H39" s="9"/>
      <c r="I39" s="37">
        <v>45489</v>
      </c>
      <c r="J39" s="14">
        <v>46.45</v>
      </c>
    </row>
    <row r="40" spans="4:10" x14ac:dyDescent="0.3">
      <c r="D40" s="9"/>
      <c r="E40" s="37">
        <v>45490</v>
      </c>
      <c r="F40" s="39">
        <v>14</v>
      </c>
      <c r="H40" s="9"/>
      <c r="I40" s="37">
        <v>45490</v>
      </c>
      <c r="J40" s="14">
        <v>42.5</v>
      </c>
    </row>
    <row r="41" spans="4:10" x14ac:dyDescent="0.3">
      <c r="D41" s="9"/>
      <c r="E41" s="37">
        <v>45491</v>
      </c>
      <c r="F41" s="39">
        <v>14</v>
      </c>
      <c r="H41" s="9"/>
      <c r="I41" s="37">
        <v>45491</v>
      </c>
      <c r="J41" s="14">
        <v>35.428571428571431</v>
      </c>
    </row>
    <row r="42" spans="4:10" x14ac:dyDescent="0.3">
      <c r="D42" s="9"/>
      <c r="E42" s="37">
        <v>45492</v>
      </c>
      <c r="F42" s="39">
        <v>17</v>
      </c>
      <c r="H42" s="9"/>
      <c r="I42" s="37">
        <v>45492</v>
      </c>
      <c r="J42" s="14">
        <v>30.294117647058822</v>
      </c>
    </row>
    <row r="43" spans="4:10" x14ac:dyDescent="0.3">
      <c r="D43" s="9"/>
      <c r="E43" s="37">
        <v>45493</v>
      </c>
      <c r="F43" s="39">
        <v>16</v>
      </c>
      <c r="H43" s="9"/>
      <c r="I43" s="37">
        <v>45493</v>
      </c>
      <c r="J43" s="14">
        <v>33.375</v>
      </c>
    </row>
    <row r="44" spans="4:10" x14ac:dyDescent="0.3">
      <c r="D44" s="9"/>
      <c r="E44" s="37">
        <v>45494</v>
      </c>
      <c r="F44" s="39">
        <v>18</v>
      </c>
      <c r="H44" s="9"/>
      <c r="I44" s="37">
        <v>45494</v>
      </c>
      <c r="J44" s="14">
        <v>37.833333333333336</v>
      </c>
    </row>
    <row r="45" spans="4:10" x14ac:dyDescent="0.3">
      <c r="D45" s="9"/>
      <c r="E45" s="37">
        <v>45495</v>
      </c>
      <c r="F45" s="39">
        <v>8</v>
      </c>
      <c r="H45" s="9"/>
      <c r="I45" s="37">
        <v>45495</v>
      </c>
      <c r="J45" s="14">
        <v>47.875</v>
      </c>
    </row>
    <row r="46" spans="4:10" x14ac:dyDescent="0.3">
      <c r="D46" s="9"/>
      <c r="E46" s="37">
        <v>45496</v>
      </c>
      <c r="F46" s="39">
        <v>17</v>
      </c>
      <c r="H46" s="9"/>
      <c r="I46" s="37">
        <v>45496</v>
      </c>
      <c r="J46" s="14">
        <v>34.647058823529413</v>
      </c>
    </row>
    <row r="47" spans="4:10" x14ac:dyDescent="0.3">
      <c r="D47" s="9"/>
      <c r="E47" s="37">
        <v>45497</v>
      </c>
      <c r="F47" s="39">
        <v>11</v>
      </c>
      <c r="H47" s="9"/>
      <c r="I47" s="37">
        <v>45497</v>
      </c>
      <c r="J47" s="14">
        <v>50.727272727272727</v>
      </c>
    </row>
    <row r="48" spans="4:10" x14ac:dyDescent="0.3">
      <c r="D48" s="9"/>
      <c r="E48" s="37">
        <v>45498</v>
      </c>
      <c r="F48" s="39">
        <v>15</v>
      </c>
      <c r="H48" s="9"/>
      <c r="I48" s="37">
        <v>45498</v>
      </c>
      <c r="J48" s="14">
        <v>41.333333333333336</v>
      </c>
    </row>
    <row r="49" spans="4:15" x14ac:dyDescent="0.3">
      <c r="D49" s="9"/>
      <c r="E49" s="37">
        <v>45499</v>
      </c>
      <c r="F49" s="39">
        <v>13</v>
      </c>
      <c r="H49" s="9"/>
      <c r="I49" s="37">
        <v>45499</v>
      </c>
      <c r="J49" s="14">
        <v>47.769230769230766</v>
      </c>
    </row>
    <row r="50" spans="4:15" x14ac:dyDescent="0.3">
      <c r="D50" s="9"/>
      <c r="E50" s="37">
        <v>45500</v>
      </c>
      <c r="F50" s="39">
        <v>17</v>
      </c>
      <c r="H50" s="9"/>
      <c r="I50" s="37">
        <v>45500</v>
      </c>
      <c r="J50" s="14">
        <v>41.823529411764703</v>
      </c>
    </row>
    <row r="51" spans="4:15" x14ac:dyDescent="0.3">
      <c r="D51" s="9"/>
      <c r="E51" s="37">
        <v>45501</v>
      </c>
      <c r="F51" s="39">
        <v>20</v>
      </c>
      <c r="H51" s="9"/>
      <c r="I51" s="37">
        <v>45501</v>
      </c>
      <c r="J51" s="14">
        <v>42.45</v>
      </c>
    </row>
    <row r="52" spans="4:15" x14ac:dyDescent="0.3">
      <c r="D52" s="9"/>
      <c r="E52" s="37">
        <v>45502</v>
      </c>
      <c r="F52" s="39">
        <v>20</v>
      </c>
      <c r="H52" s="9"/>
      <c r="I52" s="37">
        <v>45502</v>
      </c>
      <c r="J52" s="14">
        <v>37.700000000000003</v>
      </c>
      <c r="L52" s="27" t="s">
        <v>28</v>
      </c>
      <c r="M52" s="27"/>
    </row>
    <row r="53" spans="4:15" x14ac:dyDescent="0.3">
      <c r="D53" s="9"/>
      <c r="E53" s="37">
        <v>45503</v>
      </c>
      <c r="F53" s="39">
        <v>13</v>
      </c>
      <c r="H53" s="9"/>
      <c r="I53" s="37">
        <v>45503</v>
      </c>
      <c r="J53" s="14">
        <v>42.153846153846153</v>
      </c>
      <c r="L53" s="17" t="s">
        <v>19</v>
      </c>
      <c r="M53" s="18" t="s">
        <v>6</v>
      </c>
      <c r="N53" t="s">
        <v>27</v>
      </c>
      <c r="O53" t="s">
        <v>29</v>
      </c>
    </row>
    <row r="54" spans="4:15" x14ac:dyDescent="0.3">
      <c r="D54" s="10"/>
      <c r="E54" s="12">
        <v>45504</v>
      </c>
      <c r="F54" s="40">
        <v>16</v>
      </c>
      <c r="H54" s="10"/>
      <c r="I54" s="12">
        <v>45504</v>
      </c>
      <c r="J54" s="15">
        <v>43.6875</v>
      </c>
      <c r="L54" s="18" t="s">
        <v>20</v>
      </c>
      <c r="M54" s="19">
        <v>40</v>
      </c>
      <c r="N54" t="e">
        <f>IF(M54=MAX($M$54:$M$60),M54,NA())</f>
        <v>#N/A</v>
      </c>
      <c r="O54">
        <f>IF(M54=MIN($M$54:$M$60),M54,"")</f>
        <v>40</v>
      </c>
    </row>
    <row r="55" spans="4:15" x14ac:dyDescent="0.3">
      <c r="L55" s="18" t="s">
        <v>21</v>
      </c>
      <c r="M55" s="19">
        <v>133</v>
      </c>
      <c r="N55" t="e">
        <f t="shared" ref="N55:N60" si="0">IF(M55=MAX($M$54:$M$60),M55,NA())</f>
        <v>#N/A</v>
      </c>
      <c r="O55" t="str">
        <f t="shared" ref="O55:O60" si="1">IF(M55=MIN($M$54:$M$60),M55,"")</f>
        <v/>
      </c>
    </row>
    <row r="56" spans="4:15" x14ac:dyDescent="0.3">
      <c r="L56" s="18" t="s">
        <v>22</v>
      </c>
      <c r="M56" s="19">
        <v>185</v>
      </c>
      <c r="N56" t="e">
        <f t="shared" si="0"/>
        <v>#N/A</v>
      </c>
      <c r="O56" t="str">
        <f t="shared" si="1"/>
        <v/>
      </c>
    </row>
    <row r="57" spans="4:15" x14ac:dyDescent="0.3">
      <c r="L57" s="18" t="s">
        <v>23</v>
      </c>
      <c r="M57" s="19">
        <v>163</v>
      </c>
      <c r="N57" t="e">
        <f t="shared" si="0"/>
        <v>#N/A</v>
      </c>
      <c r="O57" t="str">
        <f t="shared" si="1"/>
        <v/>
      </c>
    </row>
    <row r="58" spans="4:15" x14ac:dyDescent="0.3">
      <c r="L58" s="18" t="s">
        <v>24</v>
      </c>
      <c r="M58" s="19">
        <v>205</v>
      </c>
      <c r="N58">
        <f t="shared" si="0"/>
        <v>205</v>
      </c>
      <c r="O58" t="str">
        <f t="shared" si="1"/>
        <v/>
      </c>
    </row>
    <row r="59" spans="4:15" x14ac:dyDescent="0.3">
      <c r="L59" s="18" t="s">
        <v>25</v>
      </c>
      <c r="M59" s="19">
        <v>100</v>
      </c>
      <c r="N59" t="e">
        <f t="shared" si="0"/>
        <v>#N/A</v>
      </c>
      <c r="O59" t="str">
        <f t="shared" si="1"/>
        <v/>
      </c>
    </row>
    <row r="60" spans="4:15" x14ac:dyDescent="0.3">
      <c r="L60" s="18" t="s">
        <v>26</v>
      </c>
      <c r="M60" s="19">
        <v>126</v>
      </c>
      <c r="N60" t="e">
        <f t="shared" si="0"/>
        <v>#N/A</v>
      </c>
      <c r="O60" t="str">
        <f t="shared" si="1"/>
        <v/>
      </c>
    </row>
    <row r="62" spans="4:15" x14ac:dyDescent="0.3">
      <c r="L62" t="s">
        <v>19</v>
      </c>
    </row>
    <row r="63" spans="4:15" x14ac:dyDescent="0.3">
      <c r="L63" t="str" cm="1">
        <f t="array" ref="L63:M69">L54:M60</f>
        <v>0-4</v>
      </c>
      <c r="M63">
        <v>40</v>
      </c>
      <c r="N63" t="str">
        <f>IF(M63=MAX($M$63:$M$69),M63,"")</f>
        <v/>
      </c>
    </row>
    <row r="64" spans="4:15" x14ac:dyDescent="0.3">
      <c r="L64" t="str">
        <v>05-14</v>
      </c>
      <c r="M64">
        <v>133</v>
      </c>
      <c r="N64" t="str">
        <f t="shared" ref="N64:N69" si="2">IF(M64=MAX($M$63:$M$69),M64,"")</f>
        <v/>
      </c>
    </row>
    <row r="65" spans="12:14" x14ac:dyDescent="0.3">
      <c r="L65" t="str">
        <v>15-29</v>
      </c>
      <c r="M65">
        <v>185</v>
      </c>
      <c r="N65" t="str">
        <f t="shared" si="2"/>
        <v/>
      </c>
    </row>
    <row r="66" spans="12:14" x14ac:dyDescent="0.3">
      <c r="L66" t="str">
        <v>30-44</v>
      </c>
      <c r="M66">
        <v>163</v>
      </c>
      <c r="N66" t="str">
        <f t="shared" si="2"/>
        <v/>
      </c>
    </row>
    <row r="67" spans="12:14" x14ac:dyDescent="0.3">
      <c r="L67" t="str">
        <v>45-59</v>
      </c>
      <c r="M67">
        <v>205</v>
      </c>
      <c r="N67">
        <f t="shared" si="2"/>
        <v>205</v>
      </c>
    </row>
    <row r="68" spans="12:14" x14ac:dyDescent="0.3">
      <c r="L68" t="str">
        <v>60-69</v>
      </c>
      <c r="M68">
        <v>100</v>
      </c>
      <c r="N68" t="str">
        <f t="shared" si="2"/>
        <v/>
      </c>
    </row>
    <row r="69" spans="12:14" x14ac:dyDescent="0.3">
      <c r="L69" t="str">
        <v>70-79</v>
      </c>
      <c r="M69">
        <v>126</v>
      </c>
      <c r="N69" t="str">
        <f t="shared" si="2"/>
        <v/>
      </c>
    </row>
    <row r="90" spans="4:14" x14ac:dyDescent="0.3">
      <c r="D90" s="27" t="s">
        <v>18</v>
      </c>
      <c r="E90" s="27"/>
      <c r="N90" s="16"/>
    </row>
    <row r="91" spans="4:14" x14ac:dyDescent="0.3">
      <c r="D91" s="17" t="s">
        <v>37</v>
      </c>
      <c r="E91" s="18" t="s">
        <v>6</v>
      </c>
    </row>
    <row r="92" spans="4:14" x14ac:dyDescent="0.3">
      <c r="D92" s="18" t="s">
        <v>45</v>
      </c>
      <c r="E92" s="19">
        <v>7</v>
      </c>
      <c r="L92" s="27" t="s">
        <v>17</v>
      </c>
      <c r="M92" s="27"/>
      <c r="N92" s="27"/>
    </row>
    <row r="93" spans="4:14" x14ac:dyDescent="0.3">
      <c r="D93" s="18" t="s">
        <v>41</v>
      </c>
      <c r="E93" s="19">
        <v>16</v>
      </c>
      <c r="L93" s="8" t="s">
        <v>4</v>
      </c>
      <c r="M93" s="11" t="s">
        <v>7</v>
      </c>
      <c r="N93" s="5" t="s">
        <v>9</v>
      </c>
    </row>
    <row r="94" spans="4:14" x14ac:dyDescent="0.3">
      <c r="D94" s="18" t="s">
        <v>39</v>
      </c>
      <c r="E94" s="19">
        <v>19</v>
      </c>
      <c r="L94" s="9" t="s">
        <v>36</v>
      </c>
      <c r="M94" s="37">
        <v>45474</v>
      </c>
      <c r="N94" s="13">
        <v>36.941176470588232</v>
      </c>
    </row>
    <row r="95" spans="4:14" x14ac:dyDescent="0.3">
      <c r="D95" s="18" t="s">
        <v>38</v>
      </c>
      <c r="E95" s="19">
        <v>23</v>
      </c>
      <c r="L95" s="9"/>
      <c r="M95" s="37">
        <v>45475</v>
      </c>
      <c r="N95" s="14">
        <v>30.842105263157894</v>
      </c>
    </row>
    <row r="96" spans="4:14" x14ac:dyDescent="0.3">
      <c r="D96" s="18" t="s">
        <v>44</v>
      </c>
      <c r="E96" s="19">
        <v>23</v>
      </c>
      <c r="L96" s="9"/>
      <c r="M96" s="37">
        <v>45476</v>
      </c>
      <c r="N96" s="14">
        <v>31.833333333333332</v>
      </c>
    </row>
    <row r="97" spans="4:14" x14ac:dyDescent="0.3">
      <c r="D97" s="18" t="s">
        <v>43</v>
      </c>
      <c r="E97" s="19">
        <v>114</v>
      </c>
      <c r="L97" s="9"/>
      <c r="M97" s="37">
        <v>45477</v>
      </c>
      <c r="N97" s="14">
        <v>33.777777777777779</v>
      </c>
    </row>
    <row r="98" spans="4:14" x14ac:dyDescent="0.3">
      <c r="D98" s="18" t="s">
        <v>40</v>
      </c>
      <c r="E98" s="19">
        <v>180</v>
      </c>
      <c r="L98" s="9"/>
      <c r="M98" s="37">
        <v>45478</v>
      </c>
      <c r="N98" s="14">
        <v>30.466666666666665</v>
      </c>
    </row>
    <row r="99" spans="4:14" x14ac:dyDescent="0.3">
      <c r="D99" s="18" t="s">
        <v>42</v>
      </c>
      <c r="E99" s="19">
        <v>570</v>
      </c>
      <c r="L99" s="9"/>
      <c r="M99" s="37">
        <v>45479</v>
      </c>
      <c r="N99" s="14">
        <v>38.799999999999997</v>
      </c>
    </row>
    <row r="100" spans="4:14" x14ac:dyDescent="0.3">
      <c r="L100" s="9"/>
      <c r="M100" s="37">
        <v>45480</v>
      </c>
      <c r="N100" s="14">
        <v>30.277777777777779</v>
      </c>
    </row>
    <row r="101" spans="4:14" x14ac:dyDescent="0.3">
      <c r="L101" s="9"/>
      <c r="M101" s="37">
        <v>45481</v>
      </c>
      <c r="N101" s="14">
        <v>35.157894736842103</v>
      </c>
    </row>
    <row r="102" spans="4:14" x14ac:dyDescent="0.3">
      <c r="L102" s="9"/>
      <c r="M102" s="37">
        <v>45482</v>
      </c>
      <c r="N102" s="14">
        <v>37.94736842105263</v>
      </c>
    </row>
    <row r="103" spans="4:14" x14ac:dyDescent="0.3">
      <c r="L103" s="9"/>
      <c r="M103" s="37">
        <v>45483</v>
      </c>
      <c r="N103" s="14">
        <v>33.92307692307692</v>
      </c>
    </row>
    <row r="104" spans="4:14" x14ac:dyDescent="0.3">
      <c r="L104" s="9"/>
      <c r="M104" s="37">
        <v>45484</v>
      </c>
      <c r="N104" s="14">
        <v>33.200000000000003</v>
      </c>
    </row>
    <row r="105" spans="4:14" x14ac:dyDescent="0.3">
      <c r="L105" s="9"/>
      <c r="M105" s="37">
        <v>45485</v>
      </c>
      <c r="N105" s="14">
        <v>40.159999999999997</v>
      </c>
    </row>
    <row r="106" spans="4:14" x14ac:dyDescent="0.3">
      <c r="L106" s="9"/>
      <c r="M106" s="37">
        <v>45486</v>
      </c>
      <c r="N106" s="14">
        <v>41.578947368421055</v>
      </c>
    </row>
    <row r="107" spans="4:14" x14ac:dyDescent="0.3">
      <c r="L107" s="9"/>
      <c r="M107" s="37">
        <v>45487</v>
      </c>
      <c r="N107" s="14">
        <v>36.866666666666667</v>
      </c>
    </row>
    <row r="108" spans="4:14" x14ac:dyDescent="0.3">
      <c r="L108" s="9"/>
      <c r="M108" s="37">
        <v>45488</v>
      </c>
      <c r="N108" s="14">
        <v>33.714285714285715</v>
      </c>
    </row>
    <row r="109" spans="4:14" x14ac:dyDescent="0.3">
      <c r="L109" s="9"/>
      <c r="M109" s="37">
        <v>45489</v>
      </c>
      <c r="N109" s="14">
        <v>33.700000000000003</v>
      </c>
    </row>
    <row r="110" spans="4:14" x14ac:dyDescent="0.3">
      <c r="L110" s="9"/>
      <c r="M110" s="37">
        <v>45490</v>
      </c>
      <c r="N110" s="14">
        <v>34.642857142857146</v>
      </c>
    </row>
    <row r="111" spans="4:14" x14ac:dyDescent="0.3">
      <c r="L111" s="9"/>
      <c r="M111" s="37">
        <v>45491</v>
      </c>
      <c r="N111" s="14">
        <v>36.5</v>
      </c>
    </row>
    <row r="112" spans="4:14" x14ac:dyDescent="0.3">
      <c r="L112" s="9"/>
      <c r="M112" s="37">
        <v>45492</v>
      </c>
      <c r="N112" s="14">
        <v>33.058823529411768</v>
      </c>
    </row>
    <row r="113" spans="12:14" x14ac:dyDescent="0.3">
      <c r="L113" s="9"/>
      <c r="M113" s="37">
        <v>45493</v>
      </c>
      <c r="N113" s="14">
        <v>33.5625</v>
      </c>
    </row>
    <row r="114" spans="12:14" x14ac:dyDescent="0.3">
      <c r="L114" s="9"/>
      <c r="M114" s="37">
        <v>45494</v>
      </c>
      <c r="N114" s="14">
        <v>31.555555555555557</v>
      </c>
    </row>
    <row r="115" spans="12:14" x14ac:dyDescent="0.3">
      <c r="L115" s="9"/>
      <c r="M115" s="37">
        <v>45495</v>
      </c>
      <c r="N115" s="14">
        <v>38.375</v>
      </c>
    </row>
    <row r="116" spans="12:14" x14ac:dyDescent="0.3">
      <c r="L116" s="9"/>
      <c r="M116" s="37">
        <v>45496</v>
      </c>
      <c r="N116" s="14">
        <v>35.411764705882355</v>
      </c>
    </row>
    <row r="117" spans="12:14" x14ac:dyDescent="0.3">
      <c r="L117" s="9"/>
      <c r="M117" s="37">
        <v>45497</v>
      </c>
      <c r="N117" s="14">
        <v>34.909090909090907</v>
      </c>
    </row>
    <row r="118" spans="12:14" x14ac:dyDescent="0.3">
      <c r="L118" s="9"/>
      <c r="M118" s="37">
        <v>45498</v>
      </c>
      <c r="N118" s="14">
        <v>35.133333333333333</v>
      </c>
    </row>
    <row r="119" spans="12:14" x14ac:dyDescent="0.3">
      <c r="L119" s="9"/>
      <c r="M119" s="37">
        <v>45499</v>
      </c>
      <c r="N119" s="14">
        <v>35.07692307692308</v>
      </c>
    </row>
    <row r="120" spans="12:14" x14ac:dyDescent="0.3">
      <c r="L120" s="9"/>
      <c r="M120" s="37">
        <v>45500</v>
      </c>
      <c r="N120" s="14">
        <v>35.352941176470587</v>
      </c>
    </row>
    <row r="121" spans="12:14" x14ac:dyDescent="0.3">
      <c r="L121" s="9"/>
      <c r="M121" s="37">
        <v>45501</v>
      </c>
      <c r="N121" s="14">
        <v>36.6</v>
      </c>
    </row>
    <row r="122" spans="12:14" x14ac:dyDescent="0.3">
      <c r="L122" s="9"/>
      <c r="M122" s="37">
        <v>45502</v>
      </c>
      <c r="N122" s="14">
        <v>35.799999999999997</v>
      </c>
    </row>
    <row r="123" spans="12:14" x14ac:dyDescent="0.3">
      <c r="L123" s="9"/>
      <c r="M123" s="37">
        <v>45503</v>
      </c>
      <c r="N123" s="14">
        <v>30.307692307692307</v>
      </c>
    </row>
    <row r="124" spans="12:14" x14ac:dyDescent="0.3">
      <c r="L124" s="10"/>
      <c r="M124" s="12">
        <v>45504</v>
      </c>
      <c r="N124" s="15">
        <v>42.75</v>
      </c>
    </row>
    <row r="129" spans="3:5" x14ac:dyDescent="0.3">
      <c r="C129" s="27" t="s">
        <v>48</v>
      </c>
      <c r="D129" s="27"/>
      <c r="E129" s="27"/>
    </row>
    <row r="130" spans="3:5" x14ac:dyDescent="0.3">
      <c r="C130" s="8" t="s">
        <v>4</v>
      </c>
      <c r="D130" s="11" t="s">
        <v>7</v>
      </c>
      <c r="E130" s="5" t="s">
        <v>47</v>
      </c>
    </row>
    <row r="131" spans="3:5" x14ac:dyDescent="0.3">
      <c r="C131" s="9" t="s">
        <v>36</v>
      </c>
      <c r="D131" s="37">
        <v>45474</v>
      </c>
      <c r="E131" s="13">
        <v>4.125</v>
      </c>
    </row>
    <row r="132" spans="3:5" x14ac:dyDescent="0.3">
      <c r="C132" s="9"/>
      <c r="D132" s="37">
        <v>45475</v>
      </c>
      <c r="E132" s="14">
        <v>5.333333333333333</v>
      </c>
    </row>
    <row r="133" spans="3:5" x14ac:dyDescent="0.3">
      <c r="C133" s="9"/>
      <c r="D133" s="37">
        <v>45476</v>
      </c>
      <c r="E133" s="14">
        <v>4.75</v>
      </c>
    </row>
    <row r="134" spans="3:5" x14ac:dyDescent="0.3">
      <c r="C134" s="9"/>
      <c r="D134" s="37">
        <v>45477</v>
      </c>
      <c r="E134" s="14">
        <v>2</v>
      </c>
    </row>
    <row r="135" spans="3:5" x14ac:dyDescent="0.3">
      <c r="C135" s="9"/>
      <c r="D135" s="37">
        <v>45478</v>
      </c>
      <c r="E135" s="14">
        <v>8</v>
      </c>
    </row>
    <row r="136" spans="3:5" x14ac:dyDescent="0.3">
      <c r="C136" s="9"/>
      <c r="D136" s="37">
        <v>45479</v>
      </c>
      <c r="E136" s="14">
        <v>3.5</v>
      </c>
    </row>
    <row r="137" spans="3:5" x14ac:dyDescent="0.3">
      <c r="C137" s="9"/>
      <c r="D137" s="37">
        <v>45480</v>
      </c>
      <c r="E137" s="14">
        <v>7</v>
      </c>
    </row>
    <row r="138" spans="3:5" x14ac:dyDescent="0.3">
      <c r="C138" s="9"/>
      <c r="D138" s="37">
        <v>45481</v>
      </c>
      <c r="E138" s="14">
        <v>3.5</v>
      </c>
    </row>
    <row r="139" spans="3:5" x14ac:dyDescent="0.3">
      <c r="C139" s="9"/>
      <c r="D139" s="37">
        <v>45482</v>
      </c>
      <c r="E139" s="14">
        <v>6.4</v>
      </c>
    </row>
    <row r="140" spans="3:5" x14ac:dyDescent="0.3">
      <c r="C140" s="9"/>
      <c r="D140" s="37">
        <v>45483</v>
      </c>
      <c r="E140" s="14">
        <v>3.5</v>
      </c>
    </row>
    <row r="141" spans="3:5" x14ac:dyDescent="0.3">
      <c r="C141" s="9"/>
      <c r="D141" s="37">
        <v>45484</v>
      </c>
      <c r="E141" s="14">
        <v>6.5</v>
      </c>
    </row>
    <row r="142" spans="3:5" x14ac:dyDescent="0.3">
      <c r="C142" s="9"/>
      <c r="D142" s="37">
        <v>45485</v>
      </c>
      <c r="E142" s="14">
        <v>5.2857142857142856</v>
      </c>
    </row>
    <row r="143" spans="3:5" x14ac:dyDescent="0.3">
      <c r="C143" s="9"/>
      <c r="D143" s="37">
        <v>45486</v>
      </c>
      <c r="E143" s="14">
        <v>4.333333333333333</v>
      </c>
    </row>
    <row r="144" spans="3:5" x14ac:dyDescent="0.3">
      <c r="C144" s="9"/>
      <c r="D144" s="37">
        <v>45487</v>
      </c>
      <c r="E144" s="14">
        <v>3</v>
      </c>
    </row>
    <row r="145" spans="3:5" x14ac:dyDescent="0.3">
      <c r="C145" s="9"/>
      <c r="D145" s="37">
        <v>45488</v>
      </c>
      <c r="E145" s="14">
        <v>4.333333333333333</v>
      </c>
    </row>
    <row r="146" spans="3:5" x14ac:dyDescent="0.3">
      <c r="C146" s="9"/>
      <c r="D146" s="37">
        <v>45489</v>
      </c>
      <c r="E146" s="14">
        <v>3.3333333333333335</v>
      </c>
    </row>
    <row r="147" spans="3:5" x14ac:dyDescent="0.3">
      <c r="C147" s="9"/>
      <c r="D147" s="37">
        <v>45490</v>
      </c>
      <c r="E147" s="14">
        <v>2.5714285714285716</v>
      </c>
    </row>
    <row r="148" spans="3:5" x14ac:dyDescent="0.3">
      <c r="C148" s="9"/>
      <c r="D148" s="37">
        <v>45491</v>
      </c>
      <c r="E148" s="14">
        <v>3.75</v>
      </c>
    </row>
    <row r="149" spans="3:5" x14ac:dyDescent="0.3">
      <c r="C149" s="9"/>
      <c r="D149" s="37">
        <v>45492</v>
      </c>
      <c r="E149" s="14">
        <v>8.3333333333333339</v>
      </c>
    </row>
    <row r="150" spans="3:5" x14ac:dyDescent="0.3">
      <c r="C150" s="9"/>
      <c r="D150" s="37">
        <v>45493</v>
      </c>
      <c r="E150" s="14">
        <v>3.75</v>
      </c>
    </row>
    <row r="151" spans="3:5" x14ac:dyDescent="0.3">
      <c r="C151" s="9"/>
      <c r="D151" s="37">
        <v>45494</v>
      </c>
      <c r="E151" s="14">
        <v>4.666666666666667</v>
      </c>
    </row>
    <row r="152" spans="3:5" x14ac:dyDescent="0.3">
      <c r="C152" s="9"/>
      <c r="D152" s="37">
        <v>45495</v>
      </c>
      <c r="E152" s="14">
        <v>5</v>
      </c>
    </row>
    <row r="153" spans="3:5" x14ac:dyDescent="0.3">
      <c r="C153" s="9"/>
      <c r="D153" s="37">
        <v>45496</v>
      </c>
      <c r="E153" s="14">
        <v>4.333333333333333</v>
      </c>
    </row>
    <row r="154" spans="3:5" x14ac:dyDescent="0.3">
      <c r="C154" s="9"/>
      <c r="D154" s="37">
        <v>45497</v>
      </c>
      <c r="E154" s="14">
        <v>4.666666666666667</v>
      </c>
    </row>
    <row r="155" spans="3:5" x14ac:dyDescent="0.3">
      <c r="C155" s="9"/>
      <c r="D155" s="37">
        <v>45498</v>
      </c>
      <c r="E155" s="14">
        <v>4.5</v>
      </c>
    </row>
    <row r="156" spans="3:5" x14ac:dyDescent="0.3">
      <c r="C156" s="9"/>
      <c r="D156" s="37">
        <v>45499</v>
      </c>
      <c r="E156" s="14">
        <v>6</v>
      </c>
    </row>
    <row r="157" spans="3:5" x14ac:dyDescent="0.3">
      <c r="C157" s="9"/>
      <c r="D157" s="37">
        <v>45500</v>
      </c>
      <c r="E157" s="14">
        <v>6.8888888888888893</v>
      </c>
    </row>
    <row r="158" spans="3:5" x14ac:dyDescent="0.3">
      <c r="C158" s="9"/>
      <c r="D158" s="37">
        <v>45501</v>
      </c>
      <c r="E158" s="14">
        <v>6.5714285714285712</v>
      </c>
    </row>
    <row r="159" spans="3:5" x14ac:dyDescent="0.3">
      <c r="C159" s="9"/>
      <c r="D159" s="37">
        <v>45502</v>
      </c>
      <c r="E159" s="14">
        <v>4.0999999999999996</v>
      </c>
    </row>
    <row r="160" spans="3:5" x14ac:dyDescent="0.3">
      <c r="C160" s="9"/>
      <c r="D160" s="37">
        <v>45503</v>
      </c>
      <c r="E160" s="14">
        <v>5</v>
      </c>
    </row>
    <row r="161" spans="3:5" x14ac:dyDescent="0.3">
      <c r="C161" s="10"/>
      <c r="D161" s="12">
        <v>45504</v>
      </c>
      <c r="E161" s="15">
        <v>5.4</v>
      </c>
    </row>
  </sheetData>
  <mergeCells count="9">
    <mergeCell ref="C129:E129"/>
    <mergeCell ref="L52:M52"/>
    <mergeCell ref="D22:F22"/>
    <mergeCell ref="H22:J22"/>
    <mergeCell ref="K7:L7"/>
    <mergeCell ref="K13:L13"/>
    <mergeCell ref="D9:G11"/>
    <mergeCell ref="D90:E90"/>
    <mergeCell ref="L92:N92"/>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8BEE-2781-449A-A03E-01B0CF77A33D}">
  <sheetPr>
    <tabColor theme="5"/>
  </sheetPr>
  <dimension ref="G11:O17"/>
  <sheetViews>
    <sheetView showGridLines="0" zoomScale="90" zoomScaleNormal="90" workbookViewId="0">
      <selection activeCell="F29" sqref="F29"/>
    </sheetView>
  </sheetViews>
  <sheetFormatPr defaultRowHeight="14.4" x14ac:dyDescent="0.3"/>
  <cols>
    <col min="7" max="7" width="23.33203125" bestFit="1" customWidth="1"/>
    <col min="8" max="8" width="17.109375" bestFit="1" customWidth="1"/>
    <col min="12" max="12" width="20.5546875" customWidth="1"/>
    <col min="13" max="13" width="15.88671875" customWidth="1"/>
    <col min="14" max="14" width="18.109375" customWidth="1"/>
    <col min="15" max="15" width="19.33203125" customWidth="1"/>
  </cols>
  <sheetData>
    <row r="11" spans="7:15" x14ac:dyDescent="0.3">
      <c r="G11" s="27" t="s">
        <v>18</v>
      </c>
      <c r="H11" s="27"/>
    </row>
    <row r="12" spans="7:15" x14ac:dyDescent="0.3">
      <c r="G12" s="17" t="s">
        <v>30</v>
      </c>
      <c r="H12" s="18" t="s">
        <v>6</v>
      </c>
      <c r="I12" t="s">
        <v>49</v>
      </c>
    </row>
    <row r="13" spans="7:15" x14ac:dyDescent="0.3">
      <c r="G13" s="18" t="s">
        <v>31</v>
      </c>
      <c r="H13" s="19">
        <v>266</v>
      </c>
      <c r="I13" s="20">
        <f>SUM(H13:H14)</f>
        <v>488</v>
      </c>
    </row>
    <row r="14" spans="7:15" x14ac:dyDescent="0.3">
      <c r="G14" s="18" t="s">
        <v>32</v>
      </c>
      <c r="H14" s="19">
        <v>222</v>
      </c>
    </row>
    <row r="15" spans="7:15" ht="15.6" x14ac:dyDescent="0.3">
      <c r="L15" s="24" t="s">
        <v>33</v>
      </c>
      <c r="M15" s="24" t="s">
        <v>34</v>
      </c>
      <c r="N15" s="24" t="s">
        <v>35</v>
      </c>
      <c r="O15" s="25"/>
    </row>
    <row r="16" spans="7:15" ht="18" customHeight="1" x14ac:dyDescent="0.3">
      <c r="L16" s="21" t="str" cm="1">
        <f t="array" ref="L16:L17">G13:G14</f>
        <v>Admitted</v>
      </c>
      <c r="M16" s="22" cm="1">
        <f t="array" ref="M16:M17">H13:H14</f>
        <v>266</v>
      </c>
      <c r="N16" s="26">
        <f>IFERROR( M16/$I$13,"")</f>
        <v>0.54508196721311475</v>
      </c>
      <c r="O16" s="23">
        <f>N16</f>
        <v>0.54508196721311475</v>
      </c>
    </row>
    <row r="17" spans="12:15" ht="17.399999999999999" customHeight="1" x14ac:dyDescent="0.3">
      <c r="L17" s="21" t="str">
        <v>Not Admitted</v>
      </c>
      <c r="M17" s="21">
        <v>222</v>
      </c>
      <c r="N17" s="26">
        <f>IFERROR( M17/$I$13,"")</f>
        <v>0.45491803278688525</v>
      </c>
      <c r="O17" s="23">
        <f>N17</f>
        <v>0.45491803278688525</v>
      </c>
    </row>
  </sheetData>
  <mergeCells count="1">
    <mergeCell ref="G11:H11"/>
  </mergeCells>
  <conditionalFormatting sqref="O16:O17">
    <cfRule type="dataBar" priority="1">
      <dataBar showValue="0">
        <cfvo type="min"/>
        <cfvo type="max"/>
        <color rgb="FF124559"/>
      </dataBar>
      <extLst>
        <ext xmlns:x14="http://schemas.microsoft.com/office/spreadsheetml/2009/9/main" uri="{B025F937-C7B1-47D3-B67F-A62EFF666E3E}">
          <x14:id>{F20C357D-4634-46C5-8BC4-11A73F7BA8B7}</x14:id>
        </ext>
      </extLst>
    </cfRule>
    <cfRule type="dataBar" priority="2">
      <dataBar showValue="0">
        <cfvo type="min"/>
        <cfvo type="max"/>
        <color rgb="FF638EC6"/>
      </dataBar>
      <extLst>
        <ext xmlns:x14="http://schemas.microsoft.com/office/spreadsheetml/2009/9/main" uri="{B025F937-C7B1-47D3-B67F-A62EFF666E3E}">
          <x14:id>{4B66EBFA-127A-4E8F-BAD1-750AEC6FE2E8}</x14:id>
        </ext>
      </extLst>
    </cfRule>
  </conditionalFormatting>
  <conditionalFormatting sqref="O16:O18">
    <cfRule type="dataBar" priority="3">
      <dataBar>
        <cfvo type="min"/>
        <cfvo type="max"/>
        <color rgb="FF008AEF"/>
      </dataBar>
      <extLst>
        <ext xmlns:x14="http://schemas.microsoft.com/office/spreadsheetml/2009/9/main" uri="{B025F937-C7B1-47D3-B67F-A62EFF666E3E}">
          <x14:id>{2F5B071E-7193-4921-9F4F-4D746A85B374}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20C357D-4634-46C5-8BC4-11A73F7BA8B7}">
            <x14:dataBar minLength="0" maxLength="100" gradient="0">
              <x14:cfvo type="autoMin"/>
              <x14:cfvo type="autoMax"/>
              <x14:negativeFillColor rgb="FFFF0000"/>
              <x14:axisColor rgb="FF000000"/>
            </x14:dataBar>
          </x14:cfRule>
          <x14:cfRule type="dataBar" id="{4B66EBFA-127A-4E8F-BAD1-750AEC6FE2E8}">
            <x14:dataBar minLength="0" maxLength="100" gradient="0">
              <x14:cfvo type="autoMin"/>
              <x14:cfvo type="autoMax"/>
              <x14:negativeFillColor rgb="FFFF0000"/>
              <x14:axisColor rgb="FF000000"/>
            </x14:dataBar>
          </x14:cfRule>
          <xm:sqref>O16:O17</xm:sqref>
        </x14:conditionalFormatting>
        <x14:conditionalFormatting xmlns:xm="http://schemas.microsoft.com/office/excel/2006/main">
          <x14:cfRule type="dataBar" id="{2F5B071E-7193-4921-9F4F-4D746A85B374}">
            <x14:dataBar minLength="0" maxLength="100" border="1" negativeBarBorderColorSameAsPositive="0">
              <x14:cfvo type="autoMin"/>
              <x14:cfvo type="autoMax"/>
              <x14:borderColor rgb="FF008AEF"/>
              <x14:negativeFillColor rgb="FFFF0000"/>
              <x14:negativeBorderColor rgb="FFFF0000"/>
              <x14:axisColor rgb="FF000000"/>
            </x14:dataBar>
          </x14:cfRule>
          <xm:sqref>O16:O18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C0B9779-6FEA-4BFF-817A-40CE93BE028C}">
  <ds:schemaRefs/>
</ds:datastoreItem>
</file>

<file path=customXml/itemProps2.xml><?xml version="1.0" encoding="utf-8"?>
<ds:datastoreItem xmlns:ds="http://schemas.openxmlformats.org/officeDocument/2006/customXml" ds:itemID="{3043BA66-B403-433B-B8D8-E9CFFF52AB04}">
  <ds:schemaRefs/>
</ds:datastoreItem>
</file>

<file path=customXml/itemProps3.xml><?xml version="1.0" encoding="utf-8"?>
<ds:datastoreItem xmlns:ds="http://schemas.openxmlformats.org/officeDocument/2006/customXml" ds:itemID="{CB7CC34F-20F8-4F4F-9038-491D7DCD2EAD}">
  <ds:schemaRefs/>
</ds:datastoreItem>
</file>

<file path=customXml/itemProps4.xml><?xml version="1.0" encoding="utf-8"?>
<ds:datastoreItem xmlns:ds="http://schemas.openxmlformats.org/officeDocument/2006/customXml" ds:itemID="{301CDFE2-08E2-4649-A799-322EA63AE2C0}">
  <ds:schemaRefs/>
</ds:datastoreItem>
</file>

<file path=customXml/itemProps5.xml><?xml version="1.0" encoding="utf-8"?>
<ds:datastoreItem xmlns:ds="http://schemas.openxmlformats.org/officeDocument/2006/customXml" ds:itemID="{02023326-2B27-4D22-BBDF-6CE2060ECFA5}">
  <ds:schemaRefs/>
</ds:datastoreItem>
</file>

<file path=customXml/itemProps6.xml><?xml version="1.0" encoding="utf-8"?>
<ds:datastoreItem xmlns:ds="http://schemas.openxmlformats.org/officeDocument/2006/customXml" ds:itemID="{6734E377-C008-4A41-8C2F-9C6E86C43E96}">
  <ds:schemaRefs/>
</ds:datastoreItem>
</file>

<file path=customXml/itemProps7.xml><?xml version="1.0" encoding="utf-8"?>
<ds:datastoreItem xmlns:ds="http://schemas.openxmlformats.org/officeDocument/2006/customXml" ds:itemID="{A61950A1-8C14-41CC-9F32-8A85709D7A41}">
  <ds:schemaRefs/>
</ds:datastoreItem>
</file>

<file path=customXml/itemProps8.xml><?xml version="1.0" encoding="utf-8"?>
<ds:datastoreItem xmlns:ds="http://schemas.openxmlformats.org/officeDocument/2006/customXml" ds:itemID="{5FAA1C79-77FE-4C73-A97D-9AB362ED4F8F}">
  <ds:schemaRefs/>
</ds:datastoreItem>
</file>

<file path=customXml/itemProps9.xml><?xml version="1.0" encoding="utf-8"?>
<ds:datastoreItem xmlns:ds="http://schemas.openxmlformats.org/officeDocument/2006/customXml" ds:itemID="{2F0A14F8-CA5C-4FD9-BDA5-867BFC11DC31}">
  <ds:schemaRefs/>
</ds:datastoreItem>
</file>

<file path=customXml/itemProps10.xml><?xml version="1.0" encoding="utf-8"?>
<ds:datastoreItem xmlns:ds="http://schemas.openxmlformats.org/officeDocument/2006/customXml" ds:itemID="{06B5455F-C6B5-41A2-8627-EDBBE25AFAF7}">
  <ds:schemaRefs/>
</ds:datastoreItem>
</file>

<file path=customXml/itemProps11.xml><?xml version="1.0" encoding="utf-8"?>
<ds:datastoreItem xmlns:ds="http://schemas.openxmlformats.org/officeDocument/2006/customXml" ds:itemID="{142A16E3-06C0-4712-BAF0-12242FB3074F}">
  <ds:schemaRefs>
    <ds:schemaRef ds:uri="http://schemas.microsoft.com/DataMashup"/>
  </ds:schemaRefs>
</ds:datastoreItem>
</file>

<file path=customXml/itemProps12.xml><?xml version="1.0" encoding="utf-8"?>
<ds:datastoreItem xmlns:ds="http://schemas.openxmlformats.org/officeDocument/2006/customXml" ds:itemID="{90CBE9E4-86D9-4748-B379-FA9B36D033CA}">
  <ds:schemaRefs/>
</ds:datastoreItem>
</file>

<file path=customXml/itemProps13.xml><?xml version="1.0" encoding="utf-8"?>
<ds:datastoreItem xmlns:ds="http://schemas.openxmlformats.org/officeDocument/2006/customXml" ds:itemID="{47AAAD4A-E2DA-46D6-AF93-8BFE15215643}">
  <ds:schemaRefs/>
</ds:datastoreItem>
</file>

<file path=customXml/itemProps14.xml><?xml version="1.0" encoding="utf-8"?>
<ds:datastoreItem xmlns:ds="http://schemas.openxmlformats.org/officeDocument/2006/customXml" ds:itemID="{0B916FD1-6A66-46D6-BDD9-3FA0C68CB28B}">
  <ds:schemaRefs/>
</ds:datastoreItem>
</file>

<file path=customXml/itemProps15.xml><?xml version="1.0" encoding="utf-8"?>
<ds:datastoreItem xmlns:ds="http://schemas.openxmlformats.org/officeDocument/2006/customXml" ds:itemID="{5285B95F-B9C6-43CF-B8E1-506320A339D8}">
  <ds:schemaRefs/>
</ds:datastoreItem>
</file>

<file path=customXml/itemProps16.xml><?xml version="1.0" encoding="utf-8"?>
<ds:datastoreItem xmlns:ds="http://schemas.openxmlformats.org/officeDocument/2006/customXml" ds:itemID="{3E4BD26B-6C95-4ADA-BD11-D6B224D0E906}">
  <ds:schemaRefs/>
</ds:datastoreItem>
</file>

<file path=customXml/itemProps17.xml><?xml version="1.0" encoding="utf-8"?>
<ds:datastoreItem xmlns:ds="http://schemas.openxmlformats.org/officeDocument/2006/customXml" ds:itemID="{B44768C6-48F5-43E6-AA98-13BFBBD5AE34}">
  <ds:schemaRefs/>
</ds:datastoreItem>
</file>

<file path=customXml/itemProps18.xml><?xml version="1.0" encoding="utf-8"?>
<ds:datastoreItem xmlns:ds="http://schemas.openxmlformats.org/officeDocument/2006/customXml" ds:itemID="{7EB2039E-FB66-4E57-B5B8-6C08CA2ACF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 analysis</vt:lpstr>
      <vt:lpstr>Pivot Table anaylsis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2026-03-17T10:54:00Z</dcterms:created>
  <dcterms:modified xsi:type="dcterms:W3CDTF">2026-03-18T11:07:21Z</dcterms:modified>
</cp:coreProperties>
</file>